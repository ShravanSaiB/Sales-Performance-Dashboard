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Excel_Bi_Sql\Sales Performance Dashboard\"/>
    </mc:Choice>
  </mc:AlternateContent>
  <xr:revisionPtr revIDLastSave="0" documentId="13_ncr:1_{640A8B90-7631-4009-9BF7-47FAEE2C279D}" xr6:coauthVersionLast="47" xr6:coauthVersionMax="47" xr10:uidLastSave="{00000000-0000-0000-0000-000000000000}"/>
  <bookViews>
    <workbookView xWindow="-110" yWindow="-110" windowWidth="19420" windowHeight="10300" activeTab="2" xr2:uid="{00000000-000D-0000-FFFF-FFFF00000000}"/>
  </bookViews>
  <sheets>
    <sheet name="SalesData" sheetId="1" r:id="rId1"/>
    <sheet name="Pivot Tables" sheetId="2" r:id="rId2"/>
    <sheet name="Dashboard" sheetId="3" r:id="rId3"/>
  </sheets>
  <definedNames>
    <definedName name="Slicer_Months__Dat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7" i="3" l="1"/>
  <c r="J6" i="3"/>
  <c r="E6" i="3"/>
  <c r="B6" i="3"/>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<sst xmlns="http://schemas.openxmlformats.org/spreadsheetml/2006/main" count="3183" uniqueCount="1018">
  <si>
    <t>OrderID</t>
  </si>
  <si>
    <t>Date</t>
  </si>
  <si>
    <t>Region</t>
  </si>
  <si>
    <t>Product</t>
  </si>
  <si>
    <t>Sales</t>
  </si>
  <si>
    <t>Quantity</t>
  </si>
  <si>
    <t>ORD20</t>
  </si>
  <si>
    <t>ORD22</t>
  </si>
  <si>
    <t>ORD23</t>
  </si>
  <si>
    <t>ORD24</t>
  </si>
  <si>
    <t>ORD25</t>
  </si>
  <si>
    <t>ORD26</t>
  </si>
  <si>
    <t>ORD27</t>
  </si>
  <si>
    <t>ORD28</t>
  </si>
  <si>
    <t>South</t>
  </si>
  <si>
    <t>ORD29</t>
  </si>
  <si>
    <t>North</t>
  </si>
  <si>
    <t>Laptop</t>
  </si>
  <si>
    <t>ORD211</t>
  </si>
  <si>
    <t>ORD213</t>
  </si>
  <si>
    <t>Phone</t>
  </si>
  <si>
    <t>ORD214</t>
  </si>
  <si>
    <t>ORD215</t>
  </si>
  <si>
    <t>Tablet</t>
  </si>
  <si>
    <t>ORD216</t>
  </si>
  <si>
    <t>Headphones</t>
  </si>
  <si>
    <t>ORD217</t>
  </si>
  <si>
    <t>ORD219</t>
  </si>
  <si>
    <t>ORD220</t>
  </si>
  <si>
    <t>Monitor</t>
  </si>
  <si>
    <t>ORD221</t>
  </si>
  <si>
    <t>East</t>
  </si>
  <si>
    <t>ORD222</t>
  </si>
  <si>
    <t>ORD223</t>
  </si>
  <si>
    <t>ORD224</t>
  </si>
  <si>
    <t>ORD226</t>
  </si>
  <si>
    <t>ORD227</t>
  </si>
  <si>
    <t>ORD228</t>
  </si>
  <si>
    <t>ORD229</t>
  </si>
  <si>
    <t>ORD230</t>
  </si>
  <si>
    <t>ORD231</t>
  </si>
  <si>
    <t>ORD232</t>
  </si>
  <si>
    <t>ORD233</t>
  </si>
  <si>
    <t>ORD235</t>
  </si>
  <si>
    <t>ORD236</t>
  </si>
  <si>
    <t>ORD237</t>
  </si>
  <si>
    <t>ORD238</t>
  </si>
  <si>
    <t>ORD239</t>
  </si>
  <si>
    <t>ORD240</t>
  </si>
  <si>
    <t>ORD241</t>
  </si>
  <si>
    <t>ORD242</t>
  </si>
  <si>
    <t>ORD243</t>
  </si>
  <si>
    <t>ORD244</t>
  </si>
  <si>
    <t>ORD245</t>
  </si>
  <si>
    <t>ORD246</t>
  </si>
  <si>
    <t>ORD247</t>
  </si>
  <si>
    <t>ORD248</t>
  </si>
  <si>
    <t>ORD250</t>
  </si>
  <si>
    <t>ORD251</t>
  </si>
  <si>
    <t>ORD252</t>
  </si>
  <si>
    <t>ORD253</t>
  </si>
  <si>
    <t>ORD254</t>
  </si>
  <si>
    <t>ORD255</t>
  </si>
  <si>
    <t>ORD256</t>
  </si>
  <si>
    <t>ORD257</t>
  </si>
  <si>
    <t>ORD259</t>
  </si>
  <si>
    <t>ORD260</t>
  </si>
  <si>
    <t>ORD261</t>
  </si>
  <si>
    <t>ORD262</t>
  </si>
  <si>
    <t>ORD264</t>
  </si>
  <si>
    <t>ORD265</t>
  </si>
  <si>
    <t>ORD266</t>
  </si>
  <si>
    <t>ORD267</t>
  </si>
  <si>
    <t>ORD268</t>
  </si>
  <si>
    <t>ORD269</t>
  </si>
  <si>
    <t>ORD270</t>
  </si>
  <si>
    <t>ORD271</t>
  </si>
  <si>
    <t>ORD272</t>
  </si>
  <si>
    <t>ORD273</t>
  </si>
  <si>
    <t>ORD274</t>
  </si>
  <si>
    <t>ORD275</t>
  </si>
  <si>
    <t>ORD276</t>
  </si>
  <si>
    <t>ORD279</t>
  </si>
  <si>
    <t>ORD280</t>
  </si>
  <si>
    <t>ORD281</t>
  </si>
  <si>
    <t>ORD282</t>
  </si>
  <si>
    <t>ORD283</t>
  </si>
  <si>
    <t>ORD284</t>
  </si>
  <si>
    <t>ORD285</t>
  </si>
  <si>
    <t>West</t>
  </si>
  <si>
    <t>ORD286</t>
  </si>
  <si>
    <t>ORD287</t>
  </si>
  <si>
    <t>ORD288</t>
  </si>
  <si>
    <t>ORD289</t>
  </si>
  <si>
    <t>ORD290</t>
  </si>
  <si>
    <t>ORD291</t>
  </si>
  <si>
    <t>ORD292</t>
  </si>
  <si>
    <t>ORD293</t>
  </si>
  <si>
    <t>ORD294</t>
  </si>
  <si>
    <t>ORD295</t>
  </si>
  <si>
    <t>ORD297</t>
  </si>
  <si>
    <t>ORD298</t>
  </si>
  <si>
    <t>ORD299</t>
  </si>
  <si>
    <t>ORD2100</t>
  </si>
  <si>
    <t>ORD2101</t>
  </si>
  <si>
    <t>ORD2102</t>
  </si>
  <si>
    <t>ORD2104</t>
  </si>
  <si>
    <t>ORD2105</t>
  </si>
  <si>
    <t>ORD2106</t>
  </si>
  <si>
    <t>ORD2107</t>
  </si>
  <si>
    <t>ORD2109</t>
  </si>
  <si>
    <t>ORD2110</t>
  </si>
  <si>
    <t>ORD2112</t>
  </si>
  <si>
    <t>ORD2113</t>
  </si>
  <si>
    <t>ORD2114</t>
  </si>
  <si>
    <t>ORD2115</t>
  </si>
  <si>
    <t>ORD2116</t>
  </si>
  <si>
    <t>ORD2118</t>
  </si>
  <si>
    <t>ORD2119</t>
  </si>
  <si>
    <t>ORD2120</t>
  </si>
  <si>
    <t>ORD2121</t>
  </si>
  <si>
    <t>ORD2122</t>
  </si>
  <si>
    <t>ORD2123</t>
  </si>
  <si>
    <t>ORD2124</t>
  </si>
  <si>
    <t>ORD2128</t>
  </si>
  <si>
    <t>ORD2129</t>
  </si>
  <si>
    <t>ORD2132</t>
  </si>
  <si>
    <t>ORD2134</t>
  </si>
  <si>
    <t>ORD2136</t>
  </si>
  <si>
    <t>ORD2137</t>
  </si>
  <si>
    <t>ORD2138</t>
  </si>
  <si>
    <t>ORD2139</t>
  </si>
  <si>
    <t>ORD2140</t>
  </si>
  <si>
    <t>ORD2142</t>
  </si>
  <si>
    <t>ORD2145</t>
  </si>
  <si>
    <t>ORD2146</t>
  </si>
  <si>
    <t>ORD2147</t>
  </si>
  <si>
    <t>ORD2148</t>
  </si>
  <si>
    <t>ORD2149</t>
  </si>
  <si>
    <t>ORD2150</t>
  </si>
  <si>
    <t>ORD2151</t>
  </si>
  <si>
    <t>ORD2152</t>
  </si>
  <si>
    <t>ORD2154</t>
  </si>
  <si>
    <t>ORD2155</t>
  </si>
  <si>
    <t>ORD2157</t>
  </si>
  <si>
    <t>ORD2158</t>
  </si>
  <si>
    <t>ORD2160</t>
  </si>
  <si>
    <t>ORD2161</t>
  </si>
  <si>
    <t>ORD2162</t>
  </si>
  <si>
    <t>ORD2163</t>
  </si>
  <si>
    <t>ORD2164</t>
  </si>
  <si>
    <t>ORD2165</t>
  </si>
  <si>
    <t>ORD2166</t>
  </si>
  <si>
    <t>ORD2167</t>
  </si>
  <si>
    <t>ORD2168</t>
  </si>
  <si>
    <t>ORD2169</t>
  </si>
  <si>
    <t>ORD2171</t>
  </si>
  <si>
    <t>ORD2173</t>
  </si>
  <si>
    <t>ORD2174</t>
  </si>
  <si>
    <t>ORD2175</t>
  </si>
  <si>
    <t>ORD2177</t>
  </si>
  <si>
    <t>ORD2178</t>
  </si>
  <si>
    <t>ORD2179</t>
  </si>
  <si>
    <t>ORD2180</t>
  </si>
  <si>
    <t>ORD2182</t>
  </si>
  <si>
    <t>ORD2184</t>
  </si>
  <si>
    <t>ORD2185</t>
  </si>
  <si>
    <t>ORD2186</t>
  </si>
  <si>
    <t>ORD2188</t>
  </si>
  <si>
    <t>ORD2191</t>
  </si>
  <si>
    <t>ORD2192</t>
  </si>
  <si>
    <t>ORD2193</t>
  </si>
  <si>
    <t>ORD2194</t>
  </si>
  <si>
    <t>ORD2195</t>
  </si>
  <si>
    <t>ORD2196</t>
  </si>
  <si>
    <t>ORD2197</t>
  </si>
  <si>
    <t>ORD2199</t>
  </si>
  <si>
    <t>ORD2200</t>
  </si>
  <si>
    <t>ORD2202</t>
  </si>
  <si>
    <t>ORD2205</t>
  </si>
  <si>
    <t>ORD2206</t>
  </si>
  <si>
    <t>ORD2207</t>
  </si>
  <si>
    <t>ORD2208</t>
  </si>
  <si>
    <t>ORD2209</t>
  </si>
  <si>
    <t>ORD2211</t>
  </si>
  <si>
    <t>ORD2212</t>
  </si>
  <si>
    <t>ORD2213</t>
  </si>
  <si>
    <t>ORD2214</t>
  </si>
  <si>
    <t>ORD2215</t>
  </si>
  <si>
    <t>ORD2216</t>
  </si>
  <si>
    <t>ORD2217</t>
  </si>
  <si>
    <t>ORD2218</t>
  </si>
  <si>
    <t>ORD2219</t>
  </si>
  <si>
    <t>ORD2221</t>
  </si>
  <si>
    <t>ORD2222</t>
  </si>
  <si>
    <t>ORD2223</t>
  </si>
  <si>
    <t>ORD2224</t>
  </si>
  <si>
    <t>ORD2225</t>
  </si>
  <si>
    <t>ORD2226</t>
  </si>
  <si>
    <t>ORD2227</t>
  </si>
  <si>
    <t>ORD2228</t>
  </si>
  <si>
    <t>ORD2230</t>
  </si>
  <si>
    <t>ORD2231</t>
  </si>
  <si>
    <t>ORD2234</t>
  </si>
  <si>
    <t>ORD2235</t>
  </si>
  <si>
    <t>ORD2238</t>
  </si>
  <si>
    <t>ORD2239</t>
  </si>
  <si>
    <t>ORD2240</t>
  </si>
  <si>
    <t>ORD2241</t>
  </si>
  <si>
    <t>ORD2242</t>
  </si>
  <si>
    <t>ORD2243</t>
  </si>
  <si>
    <t>ORD2244</t>
  </si>
  <si>
    <t>ORD2245</t>
  </si>
  <si>
    <t>ORD2246</t>
  </si>
  <si>
    <t>ORD2247</t>
  </si>
  <si>
    <t>ORD2249</t>
  </si>
  <si>
    <t>ORD2250</t>
  </si>
  <si>
    <t>ORD2251</t>
  </si>
  <si>
    <t>ORD2252</t>
  </si>
  <si>
    <t>ORD2254</t>
  </si>
  <si>
    <t>ORD2255</t>
  </si>
  <si>
    <t>ORD2256</t>
  </si>
  <si>
    <t>ORD2257</t>
  </si>
  <si>
    <t>ORD2259</t>
  </si>
  <si>
    <t>ORD2260</t>
  </si>
  <si>
    <t>ORD2261</t>
  </si>
  <si>
    <t>ORD2262</t>
  </si>
  <si>
    <t>ORD2263</t>
  </si>
  <si>
    <t>ORD2264</t>
  </si>
  <si>
    <t>ORD2265</t>
  </si>
  <si>
    <t>ORD2266</t>
  </si>
  <si>
    <t>ORD2267</t>
  </si>
  <si>
    <t>ORD2269</t>
  </si>
  <si>
    <t>ORD2270</t>
  </si>
  <si>
    <t>ORD2271</t>
  </si>
  <si>
    <t>ORD2272</t>
  </si>
  <si>
    <t>ORD2274</t>
  </si>
  <si>
    <t>ORD2275</t>
  </si>
  <si>
    <t>ORD2276</t>
  </si>
  <si>
    <t>ORD2277</t>
  </si>
  <si>
    <t>ORD2278</t>
  </si>
  <si>
    <t>ORD2279</t>
  </si>
  <si>
    <t>ORD2280</t>
  </si>
  <si>
    <t>ORD2281</t>
  </si>
  <si>
    <t>ORD2283</t>
  </si>
  <si>
    <t>ORD2284</t>
  </si>
  <si>
    <t>ORD2286</t>
  </si>
  <si>
    <t>ORD2287</t>
  </si>
  <si>
    <t>ORD2288</t>
  </si>
  <si>
    <t>ORD2290</t>
  </si>
  <si>
    <t>ORD2291</t>
  </si>
  <si>
    <t>ORD2292</t>
  </si>
  <si>
    <t>ORD2293</t>
  </si>
  <si>
    <t>ORD2295</t>
  </si>
  <si>
    <t>ORD2296</t>
  </si>
  <si>
    <t>ORD2297</t>
  </si>
  <si>
    <t>ORD2300</t>
  </si>
  <si>
    <t>ORD2301</t>
  </si>
  <si>
    <t>ORD2303</t>
  </si>
  <si>
    <t>ORD2304</t>
  </si>
  <si>
    <t>ORD2305</t>
  </si>
  <si>
    <t>ORD2307</t>
  </si>
  <si>
    <t>ORD2309</t>
  </si>
  <si>
    <t>ORD2311</t>
  </si>
  <si>
    <t>ORD2312</t>
  </si>
  <si>
    <t>ORD2313</t>
  </si>
  <si>
    <t>ORD2314</t>
  </si>
  <si>
    <t>ORD2315</t>
  </si>
  <si>
    <t>ORD2316</t>
  </si>
  <si>
    <t>ORD2317</t>
  </si>
  <si>
    <t>ORD2318</t>
  </si>
  <si>
    <t>ORD2319</t>
  </si>
  <si>
    <t>ORD2321</t>
  </si>
  <si>
    <t>ORD2322</t>
  </si>
  <si>
    <t>ORD2323</t>
  </si>
  <si>
    <t>ORD2324</t>
  </si>
  <si>
    <t>ORD2325</t>
  </si>
  <si>
    <t>ORD2326</t>
  </si>
  <si>
    <t>ORD2327</t>
  </si>
  <si>
    <t>ORD2328</t>
  </si>
  <si>
    <t>ORD2329</t>
  </si>
  <si>
    <t>ORD2330</t>
  </si>
  <si>
    <t>ORD2332</t>
  </si>
  <si>
    <t>ORD2333</t>
  </si>
  <si>
    <t>ORD2334</t>
  </si>
  <si>
    <t>ORD2335</t>
  </si>
  <si>
    <t>ORD2336</t>
  </si>
  <si>
    <t>ORD2337</t>
  </si>
  <si>
    <t>ORD2338</t>
  </si>
  <si>
    <t>ORD2339</t>
  </si>
  <si>
    <t>ORD2342</t>
  </si>
  <si>
    <t>ORD2343</t>
  </si>
  <si>
    <t>ORD2344</t>
  </si>
  <si>
    <t>ORD2346</t>
  </si>
  <si>
    <t>ORD2347</t>
  </si>
  <si>
    <t>ORD2348</t>
  </si>
  <si>
    <t>ORD2349</t>
  </si>
  <si>
    <t>ORD2350</t>
  </si>
  <si>
    <t>ORD2352</t>
  </si>
  <si>
    <t>ORD2353</t>
  </si>
  <si>
    <t>ORD2354</t>
  </si>
  <si>
    <t>ORD2356</t>
  </si>
  <si>
    <t>ORD2357</t>
  </si>
  <si>
    <t>ORD2359</t>
  </si>
  <si>
    <t>ORD2361</t>
  </si>
  <si>
    <t>ORD2362</t>
  </si>
  <si>
    <t>ORD2363</t>
  </si>
  <si>
    <t>ORD2366</t>
  </si>
  <si>
    <t>ORD2367</t>
  </si>
  <si>
    <t>ORD2368</t>
  </si>
  <si>
    <t>ORD2369</t>
  </si>
  <si>
    <t>ORD2370</t>
  </si>
  <si>
    <t>ORD2371</t>
  </si>
  <si>
    <t>ORD2372</t>
  </si>
  <si>
    <t>ORD2373</t>
  </si>
  <si>
    <t>ORD2377</t>
  </si>
  <si>
    <t>ORD2379</t>
  </si>
  <si>
    <t>ORD2381</t>
  </si>
  <si>
    <t>ORD2382</t>
  </si>
  <si>
    <t>ORD2383</t>
  </si>
  <si>
    <t>ORD2384</t>
  </si>
  <si>
    <t>ORD2386</t>
  </si>
  <si>
    <t>ORD2387</t>
  </si>
  <si>
    <t>ORD2388</t>
  </si>
  <si>
    <t>ORD2390</t>
  </si>
  <si>
    <t>ORD2391</t>
  </si>
  <si>
    <t>ORD2392</t>
  </si>
  <si>
    <t>ORD2393</t>
  </si>
  <si>
    <t>ORD2394</t>
  </si>
  <si>
    <t>ORD2395</t>
  </si>
  <si>
    <t>ORD2396</t>
  </si>
  <si>
    <t>ORD2397</t>
  </si>
  <si>
    <t>ORD2398</t>
  </si>
  <si>
    <t>ORD2399</t>
  </si>
  <si>
    <t>ORD2400</t>
  </si>
  <si>
    <t>ORD2401</t>
  </si>
  <si>
    <t>ORD2402</t>
  </si>
  <si>
    <t>ORD2403</t>
  </si>
  <si>
    <t>ORD2404</t>
  </si>
  <si>
    <t>ORD2406</t>
  </si>
  <si>
    <t>ORD2408</t>
  </si>
  <si>
    <t>ORD2409</t>
  </si>
  <si>
    <t>ORD2411</t>
  </si>
  <si>
    <t>ORD2412</t>
  </si>
  <si>
    <t>ORD2413</t>
  </si>
  <si>
    <t>ORD2414</t>
  </si>
  <si>
    <t>ORD2415</t>
  </si>
  <si>
    <t>ORD2416</t>
  </si>
  <si>
    <t>ORD2417</t>
  </si>
  <si>
    <t>ORD2418</t>
  </si>
  <si>
    <t>ORD2420</t>
  </si>
  <si>
    <t>ORD2421</t>
  </si>
  <si>
    <t>ORD2422</t>
  </si>
  <si>
    <t>ORD2424</t>
  </si>
  <si>
    <t>ORD2425</t>
  </si>
  <si>
    <t>ORD2427</t>
  </si>
  <si>
    <t>ORD2428</t>
  </si>
  <si>
    <t>ORD2429</t>
  </si>
  <si>
    <t>ORD2431</t>
  </si>
  <si>
    <t>ORD2432</t>
  </si>
  <si>
    <t>ORD2433</t>
  </si>
  <si>
    <t>ORD2434</t>
  </si>
  <si>
    <t>ORD2435</t>
  </si>
  <si>
    <t>ORD2436</t>
  </si>
  <si>
    <t>ORD2437</t>
  </si>
  <si>
    <t>ORD2438</t>
  </si>
  <si>
    <t>ORD2439</t>
  </si>
  <si>
    <t>ORD2440</t>
  </si>
  <si>
    <t>ORD2442</t>
  </si>
  <si>
    <t>ORD2443</t>
  </si>
  <si>
    <t>ORD2444</t>
  </si>
  <si>
    <t>ORD2445</t>
  </si>
  <si>
    <t>ORD2446</t>
  </si>
  <si>
    <t>ORD2449</t>
  </si>
  <si>
    <t>ORD2450</t>
  </si>
  <si>
    <t>ORD2451</t>
  </si>
  <si>
    <t>ORD2453</t>
  </si>
  <si>
    <t>ORD2454</t>
  </si>
  <si>
    <t>ORD2455</t>
  </si>
  <si>
    <t>ORD2456</t>
  </si>
  <si>
    <t>ORD2457</t>
  </si>
  <si>
    <t>ORD2458</t>
  </si>
  <si>
    <t>ORD2459</t>
  </si>
  <si>
    <t>ORD2461</t>
  </si>
  <si>
    <t>ORD2463</t>
  </si>
  <si>
    <t>ORD2464</t>
  </si>
  <si>
    <t>ORD2466</t>
  </si>
  <si>
    <t>ORD2467</t>
  </si>
  <si>
    <t>ORD2469</t>
  </si>
  <si>
    <t>ORD2470</t>
  </si>
  <si>
    <t>ORD2471</t>
  </si>
  <si>
    <t>ORD2472</t>
  </si>
  <si>
    <t>ORD2473</t>
  </si>
  <si>
    <t>ORD2476</t>
  </si>
  <si>
    <t>ORD2477</t>
  </si>
  <si>
    <t>ORD2478</t>
  </si>
  <si>
    <t>ORD2479</t>
  </si>
  <si>
    <t>ORD2480</t>
  </si>
  <si>
    <t>ORD2481</t>
  </si>
  <si>
    <t>ORD2483</t>
  </si>
  <si>
    <t>ORD2484</t>
  </si>
  <si>
    <t>ORD2486</t>
  </si>
  <si>
    <t>ORD2488</t>
  </si>
  <si>
    <t>ORD2489</t>
  </si>
  <si>
    <t>ORD2490</t>
  </si>
  <si>
    <t>ORD2492</t>
  </si>
  <si>
    <t>ORD2493</t>
  </si>
  <si>
    <t>ORD2494</t>
  </si>
  <si>
    <t>ORD2495</t>
  </si>
  <si>
    <t>ORD2496</t>
  </si>
  <si>
    <t>ORD2497</t>
  </si>
  <si>
    <t>ORD2498</t>
  </si>
  <si>
    <t>ORD2499</t>
  </si>
  <si>
    <t>ORD2500</t>
  </si>
  <si>
    <t>ORD2503</t>
  </si>
  <si>
    <t>ORD2504</t>
  </si>
  <si>
    <t>ORD2506</t>
  </si>
  <si>
    <t>ORD2507</t>
  </si>
  <si>
    <t>ORD2509</t>
  </si>
  <si>
    <t>ORD2510</t>
  </si>
  <si>
    <t>ORD2511</t>
  </si>
  <si>
    <t>ORD2512</t>
  </si>
  <si>
    <t>ORD2513</t>
  </si>
  <si>
    <t>ORD2514</t>
  </si>
  <si>
    <t>ORD2515</t>
  </si>
  <si>
    <t>ORD2517</t>
  </si>
  <si>
    <t>ORD2518</t>
  </si>
  <si>
    <t>ORD2519</t>
  </si>
  <si>
    <t>ORD2520</t>
  </si>
  <si>
    <t>ORD2521</t>
  </si>
  <si>
    <t>ORD2524</t>
  </si>
  <si>
    <t>ORD2526</t>
  </si>
  <si>
    <t>ORD2527</t>
  </si>
  <si>
    <t>ORD2528</t>
  </si>
  <si>
    <t>ORD2529</t>
  </si>
  <si>
    <t>ORD2531</t>
  </si>
  <si>
    <t>ORD2533</t>
  </si>
  <si>
    <t>ORD2534</t>
  </si>
  <si>
    <t>ORD2535</t>
  </si>
  <si>
    <t>ORD2536</t>
  </si>
  <si>
    <t>ORD2538</t>
  </si>
  <si>
    <t>ORD2540</t>
  </si>
  <si>
    <t>ORD2541</t>
  </si>
  <si>
    <t>ORD2542</t>
  </si>
  <si>
    <t>ORD2543</t>
  </si>
  <si>
    <t>ORD2544</t>
  </si>
  <si>
    <t>ORD2545</t>
  </si>
  <si>
    <t>ORD2546</t>
  </si>
  <si>
    <t>ORD2547</t>
  </si>
  <si>
    <t>ORD2548</t>
  </si>
  <si>
    <t>ORD2549</t>
  </si>
  <si>
    <t>ORD2551</t>
  </si>
  <si>
    <t>ORD2552</t>
  </si>
  <si>
    <t>ORD2553</t>
  </si>
  <si>
    <t>ORD2554</t>
  </si>
  <si>
    <t>ORD2556</t>
  </si>
  <si>
    <t>ORD2558</t>
  </si>
  <si>
    <t>ORD2559</t>
  </si>
  <si>
    <t>ORD2560</t>
  </si>
  <si>
    <t>ORD2561</t>
  </si>
  <si>
    <t>ORD2564</t>
  </si>
  <si>
    <t>ORD2565</t>
  </si>
  <si>
    <t>ORD2566</t>
  </si>
  <si>
    <t>ORD2567</t>
  </si>
  <si>
    <t>ORD2568</t>
  </si>
  <si>
    <t>ORD2569</t>
  </si>
  <si>
    <t>ORD2571</t>
  </si>
  <si>
    <t>ORD2573</t>
  </si>
  <si>
    <t>ORD2574</t>
  </si>
  <si>
    <t>ORD2575</t>
  </si>
  <si>
    <t>ORD2576</t>
  </si>
  <si>
    <t>ORD2577</t>
  </si>
  <si>
    <t>ORD2578</t>
  </si>
  <si>
    <t>ORD2579</t>
  </si>
  <si>
    <t>ORD2580</t>
  </si>
  <si>
    <t>ORD2581</t>
  </si>
  <si>
    <t>ORD2582</t>
  </si>
  <si>
    <t>ORD2583</t>
  </si>
  <si>
    <t>ORD2584</t>
  </si>
  <si>
    <t>ORD2587</t>
  </si>
  <si>
    <t>ORD2588</t>
  </si>
  <si>
    <t>ORD2589</t>
  </si>
  <si>
    <t>ORD2590</t>
  </si>
  <si>
    <t>ORD2591</t>
  </si>
  <si>
    <t>ORD2594</t>
  </si>
  <si>
    <t>ORD2595</t>
  </si>
  <si>
    <t>ORD2596</t>
  </si>
  <si>
    <t>ORD2597</t>
  </si>
  <si>
    <t>ORD2598</t>
  </si>
  <si>
    <t>ORD2599</t>
  </si>
  <si>
    <t>ORD2600</t>
  </si>
  <si>
    <t>ORD2601</t>
  </si>
  <si>
    <t>ORD2603</t>
  </si>
  <si>
    <t>ORD2604</t>
  </si>
  <si>
    <t>ORD2606</t>
  </si>
  <si>
    <t>ORD2607</t>
  </si>
  <si>
    <t>ORD2608</t>
  </si>
  <si>
    <t>ORD2609</t>
  </si>
  <si>
    <t>ORD2610</t>
  </si>
  <si>
    <t>ORD2611</t>
  </si>
  <si>
    <t>ORD2612</t>
  </si>
  <si>
    <t>ORD2613</t>
  </si>
  <si>
    <t>ORD2614</t>
  </si>
  <si>
    <t>ORD2615</t>
  </si>
  <si>
    <t>ORD2616</t>
  </si>
  <si>
    <t>ORD2618</t>
  </si>
  <si>
    <t>ORD2619</t>
  </si>
  <si>
    <t>ORD2620</t>
  </si>
  <si>
    <t>ORD2621</t>
  </si>
  <si>
    <t>ORD2622</t>
  </si>
  <si>
    <t>ORD2623</t>
  </si>
  <si>
    <t>ORD2624</t>
  </si>
  <si>
    <t>ORD2626</t>
  </si>
  <si>
    <t>ORD2627</t>
  </si>
  <si>
    <t>ORD2628</t>
  </si>
  <si>
    <t>ORD2629</t>
  </si>
  <si>
    <t>ORD2630</t>
  </si>
  <si>
    <t>ORD2631</t>
  </si>
  <si>
    <t>ORD2632</t>
  </si>
  <si>
    <t>ORD2633</t>
  </si>
  <si>
    <t>ORD2635</t>
  </si>
  <si>
    <t>ORD2636</t>
  </si>
  <si>
    <t>ORD2637</t>
  </si>
  <si>
    <t>ORD2638</t>
  </si>
  <si>
    <t>ORD2639</t>
  </si>
  <si>
    <t>ORD2640</t>
  </si>
  <si>
    <t>ORD2641</t>
  </si>
  <si>
    <t>ORD2642</t>
  </si>
  <si>
    <t>ORD2644</t>
  </si>
  <si>
    <t>ORD2645</t>
  </si>
  <si>
    <t>ORD2646</t>
  </si>
  <si>
    <t>ORD2648</t>
  </si>
  <si>
    <t>ORD2650</t>
  </si>
  <si>
    <t>ORD2651</t>
  </si>
  <si>
    <t>ORD2652</t>
  </si>
  <si>
    <t>ORD2653</t>
  </si>
  <si>
    <t>ORD2654</t>
  </si>
  <si>
    <t>ORD2655</t>
  </si>
  <si>
    <t>ORD2656</t>
  </si>
  <si>
    <t>ORD2657</t>
  </si>
  <si>
    <t>ORD2659</t>
  </si>
  <si>
    <t>ORD2661</t>
  </si>
  <si>
    <t>ORD2662</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</si>
  <si>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</si>
  <si>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</si>
  <si>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</si>
  <si>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</si>
  <si>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</si>
  <si>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</si>
  <si>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</si>
  <si>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</si>
  <si>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</si>
  <si>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</si>
  <si>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</si>
  <si>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</si>
  <si>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</si>
  <si>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</si>
  <si>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</si>
  <si>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</si>
  <si>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</si>
  <si>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</si>
  <si>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ORD2683</t>
  </si>
  <si>
    <t>ORD2684</t>
  </si>
  <si>
    <t>ORD2685</t>
  </si>
  <si>
    <t>ORD2686</t>
  </si>
  <si>
    <t>ORD2687</t>
  </si>
  <si>
    <t>ORD2688</t>
  </si>
  <si>
    <t>ORD2689</t>
  </si>
  <si>
    <t>ORD2690</t>
  </si>
  <si>
    <t>ORD2691</t>
  </si>
  <si>
    <t>ORD2692</t>
  </si>
  <si>
    <t>ORD2693</t>
  </si>
  <si>
    <t>ORD2694</t>
  </si>
  <si>
    <t>ORD2695</t>
  </si>
  <si>
    <t>ORD2696</t>
  </si>
  <si>
    <t>ORD2698</t>
  </si>
  <si>
    <t>ORD2700</t>
  </si>
  <si>
    <t>ORD2701</t>
  </si>
  <si>
    <t>ORD2703</t>
  </si>
  <si>
    <t>ORD2704</t>
  </si>
  <si>
    <t>ORD2705</t>
  </si>
  <si>
    <t>ORD2707</t>
  </si>
  <si>
    <t>ORD2708</t>
  </si>
  <si>
    <t>ORD2710</t>
  </si>
  <si>
    <t>ORD2711</t>
  </si>
  <si>
    <t>ORD2712</t>
  </si>
  <si>
    <t>ORD2713</t>
  </si>
  <si>
    <t>ORD2715</t>
  </si>
  <si>
    <t>ORD2716</t>
  </si>
  <si>
    <t>ORD2717</t>
  </si>
  <si>
    <t>ORD2718</t>
  </si>
  <si>
    <t>ORD2719</t>
  </si>
  <si>
    <t>ORD2720</t>
  </si>
  <si>
    <t>ORD2721</t>
  </si>
  <si>
    <t>ORD2722</t>
  </si>
  <si>
    <t>ORD2724</t>
  </si>
  <si>
    <t>ORD2725</t>
  </si>
  <si>
    <t>ORD2727</t>
  </si>
  <si>
    <t>ORD2728</t>
  </si>
  <si>
    <t>ORD2731</t>
  </si>
  <si>
    <t>ORD2732</t>
  </si>
  <si>
    <t>ORD2734</t>
  </si>
  <si>
    <t>ORD2737</t>
  </si>
  <si>
    <t>ORD2738</t>
  </si>
  <si>
    <t>ORD2740</t>
  </si>
  <si>
    <t>ORD2741</t>
  </si>
  <si>
    <t>ORD2742</t>
  </si>
  <si>
    <t>ORD2743</t>
  </si>
  <si>
    <t>ORD2744</t>
  </si>
  <si>
    <t>ORD2745</t>
  </si>
  <si>
    <t>ORD2747</t>
  </si>
  <si>
    <t>ORD2748</t>
  </si>
  <si>
    <t>ORD2749</t>
  </si>
  <si>
    <t>ORD2750</t>
  </si>
  <si>
    <t>ORD2751</t>
  </si>
  <si>
    <t>ORD2754</t>
  </si>
  <si>
    <t>ORD2756</t>
  </si>
  <si>
    <t>ORD2757</t>
  </si>
  <si>
    <t>ORD2758</t>
  </si>
  <si>
    <t>ORD2759</t>
  </si>
  <si>
    <t>ORD2760</t>
  </si>
  <si>
    <t>ORD2761</t>
  </si>
  <si>
    <t>ORD2762</t>
  </si>
  <si>
    <t>ORD2763</t>
  </si>
  <si>
    <t>ORD2764</t>
  </si>
  <si>
    <t>ORD2767</t>
  </si>
  <si>
    <t>ORD2768</t>
  </si>
  <si>
    <t>ORD2769</t>
  </si>
  <si>
    <t>ORD2771</t>
  </si>
  <si>
    <t>ORD2773</t>
  </si>
  <si>
    <t>ORD2774</t>
  </si>
  <si>
    <t>ORD2775</t>
  </si>
  <si>
    <t>ORD2776</t>
  </si>
  <si>
    <t>ORD2777</t>
  </si>
  <si>
    <t>ORD2778</t>
  </si>
  <si>
    <t>ORD2779</t>
  </si>
  <si>
    <t>ORD2780</t>
  </si>
  <si>
    <t>ORD2782</t>
  </si>
  <si>
    <t>ORD2784</t>
  </si>
  <si>
    <t>ORD2785</t>
  </si>
  <si>
    <t>ORD2787</t>
  </si>
  <si>
    <t>ORD2788</t>
  </si>
  <si>
    <t>ORD2789</t>
  </si>
  <si>
    <t>ORD2790</t>
  </si>
  <si>
    <t>ORD2791</t>
  </si>
  <si>
    <t>ORD2792</t>
  </si>
  <si>
    <t>ORD2793</t>
  </si>
  <si>
    <t>ORD2794</t>
  </si>
  <si>
    <t>ORD2795</t>
  </si>
  <si>
    <t>ORD2797</t>
  </si>
  <si>
    <t>ORD2798</t>
  </si>
  <si>
    <t>ORD2799</t>
  </si>
  <si>
    <t>ORD2800</t>
  </si>
  <si>
    <t>ORD2801</t>
  </si>
  <si>
    <t>ORD2804</t>
  </si>
  <si>
    <t>ORD2805</t>
  </si>
  <si>
    <t>ORD2806</t>
  </si>
  <si>
    <t>ORD2807</t>
  </si>
  <si>
    <t>ORD2808</t>
  </si>
  <si>
    <t>ORD2809</t>
  </si>
  <si>
    <t>ORD2810</t>
  </si>
  <si>
    <t>ORD2811</t>
  </si>
  <si>
    <t>ORD2812</t>
  </si>
  <si>
    <t>ORD2813</t>
  </si>
  <si>
    <t>ORD2814</t>
  </si>
  <si>
    <t>ORD2815</t>
  </si>
  <si>
    <t>ORD2816</t>
  </si>
  <si>
    <t>ORD2817</t>
  </si>
  <si>
    <t>ORD2818</t>
  </si>
  <si>
    <t>ORD2819</t>
  </si>
  <si>
    <t>ORD2822</t>
  </si>
  <si>
    <t>ORD2824</t>
  </si>
  <si>
    <t>ORD2825</t>
  </si>
  <si>
    <t>ORD2826</t>
  </si>
  <si>
    <t>ORD2827</t>
  </si>
  <si>
    <t>ORD2828</t>
  </si>
  <si>
    <t>ORD2830</t>
  </si>
  <si>
    <t>ORD2831</t>
  </si>
  <si>
    <t>ORD2833</t>
  </si>
  <si>
    <t>ORD2834</t>
  </si>
  <si>
    <t>ORD2836</t>
  </si>
  <si>
    <t>ORD2837</t>
  </si>
  <si>
    <t>ORD2838</t>
  </si>
  <si>
    <t>ORD2840</t>
  </si>
  <si>
    <t>ORD2841</t>
  </si>
  <si>
    <t>ORD2842</t>
  </si>
  <si>
    <t>ORD2843</t>
  </si>
  <si>
    <t>ORD2844</t>
  </si>
  <si>
    <t>ORD2845</t>
  </si>
  <si>
    <t>ORD2847</t>
  </si>
  <si>
    <t>ORD2849</t>
  </si>
  <si>
    <t>ORD2850</t>
  </si>
  <si>
    <t>ORD2851</t>
  </si>
  <si>
    <t>ORD2852</t>
  </si>
  <si>
    <t>ORD2854</t>
  </si>
  <si>
    <t>ORD2855</t>
  </si>
  <si>
    <t>ORD2856</t>
  </si>
  <si>
    <t>ORD2858</t>
  </si>
  <si>
    <t>ORD2859</t>
  </si>
  <si>
    <t>ORD2860</t>
  </si>
  <si>
    <t>ORD2861</t>
  </si>
  <si>
    <t>ORD2863</t>
  </si>
  <si>
    <t>ORD2864</t>
  </si>
  <si>
    <t>ORD2865</t>
  </si>
  <si>
    <t>ORD2866</t>
  </si>
  <si>
    <t>ORD2867</t>
  </si>
  <si>
    <t>ORD2868</t>
  </si>
  <si>
    <t>ORD2869</t>
  </si>
  <si>
    <t>ORD2870</t>
  </si>
  <si>
    <t>ORD2871</t>
  </si>
  <si>
    <t>ORD2872</t>
  </si>
  <si>
    <t>ORD2873</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</si>
  <si>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</si>
  <si>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</si>
  <si>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</si>
  <si>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</si>
  <si>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</si>
  <si>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</si>
  <si>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</si>
  <si>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</si>
  <si>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</si>
  <si>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</si>
  <si>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</si>
  <si>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</si>
  <si>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</si>
  <si>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</si>
  <si>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</si>
  <si>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</si>
  <si>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</si>
  <si>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</si>
  <si>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</si>
  <si>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</si>
  <si>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</si>
  <si>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</si>
  <si>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</si>
  <si>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</si>
  <si>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</si>
  <si>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</si>
  <si>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</si>
  <si>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</si>
  <si>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</si>
  <si>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</si>
  <si>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</si>
  <si>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</si>
  <si>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</si>
  <si>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</si>
  <si>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</si>
  <si>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</si>
  <si>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ORD2912</t>
  </si>
  <si>
    <t>ORD2913</t>
  </si>
  <si>
    <t>ORD2914</t>
  </si>
  <si>
    <t>ORD2915</t>
  </si>
  <si>
    <t>ORD2917</t>
  </si>
  <si>
    <t>ORD2918</t>
  </si>
  <si>
    <t>ORD2919</t>
  </si>
  <si>
    <t>ORD2920</t>
  </si>
  <si>
    <t>ORD2921</t>
  </si>
  <si>
    <t>ORD2922</t>
  </si>
  <si>
    <t>ORD2923</t>
  </si>
  <si>
    <t>ORD2924</t>
  </si>
  <si>
    <t>ORD2926</t>
  </si>
  <si>
    <t>ORD2927</t>
  </si>
  <si>
    <t>ORD2928</t>
  </si>
  <si>
    <t>ORD2929</t>
  </si>
  <si>
    <t>ORD2930</t>
  </si>
  <si>
    <t>ORD2932</t>
  </si>
  <si>
    <t>ORD2934</t>
  </si>
  <si>
    <t>ORD2935</t>
  </si>
  <si>
    <t>ORD2936</t>
  </si>
  <si>
    <t>ORD2937</t>
  </si>
  <si>
    <t>ORD2938</t>
  </si>
  <si>
    <t>ORD2939</t>
  </si>
  <si>
    <t>ORD2940</t>
  </si>
  <si>
    <t>ORD2941</t>
  </si>
  <si>
    <t>ORD2942</t>
  </si>
  <si>
    <t>ORD2944</t>
  </si>
  <si>
    <t>ORD2945</t>
  </si>
  <si>
    <t>ORD2946</t>
  </si>
  <si>
    <t>ORD2947</t>
  </si>
  <si>
    <t>ORD2948</t>
  </si>
  <si>
    <t>ORD2949</t>
  </si>
  <si>
    <t>ORD2951</t>
  </si>
  <si>
    <t>ORD2952</t>
  </si>
  <si>
    <t>ORD2953</t>
  </si>
  <si>
    <t>ORD2954</t>
  </si>
  <si>
    <t>ORD2956</t>
  </si>
  <si>
    <t>ORD2957</t>
  </si>
  <si>
    <t>ORD2958</t>
  </si>
  <si>
    <t>ORD2959</t>
  </si>
  <si>
    <t>ORD2960</t>
  </si>
  <si>
    <t>ORD2961</t>
  </si>
  <si>
    <t>ORD2962</t>
  </si>
  <si>
    <t>ORD2963</t>
  </si>
  <si>
    <t>ORD2964</t>
  </si>
  <si>
    <t>ORD2965</t>
  </si>
  <si>
    <t>ORD2966</t>
  </si>
  <si>
    <t>ORD2967</t>
  </si>
  <si>
    <t>ORD2969</t>
  </si>
  <si>
    <t>ORD2970</t>
  </si>
  <si>
    <t>ORD2971</t>
  </si>
  <si>
    <t>ORD2972</t>
  </si>
  <si>
    <t>ORD2974</t>
  </si>
  <si>
    <t>ORD2975</t>
  </si>
  <si>
    <t>ORD2976</t>
  </si>
  <si>
    <t>ORD2977</t>
  </si>
  <si>
    <t>ORD2978</t>
  </si>
  <si>
    <t>ORD2980</t>
  </si>
  <si>
    <t>ORD2986</t>
  </si>
  <si>
    <t>ORD2988</t>
  </si>
  <si>
    <t>ORD2989</t>
  </si>
  <si>
    <t>ORD2991</t>
  </si>
  <si>
    <t>ORD2992</t>
  </si>
  <si>
    <t>ORD2993</t>
  </si>
  <si>
    <t>ORD2994</t>
  </si>
  <si>
    <t>ORD2995</t>
  </si>
  <si>
    <t>ORD2996</t>
  </si>
  <si>
    <t>ORD2997</t>
  </si>
  <si>
    <t>ORD2999</t>
  </si>
  <si>
    <t>ORD21000</t>
  </si>
  <si>
    <t>ORD21002</t>
  </si>
  <si>
    <t>ORD21003</t>
  </si>
  <si>
    <t>ORD21004</t>
  </si>
  <si>
    <t>ORD21005</t>
  </si>
  <si>
    <t>ORD21006</t>
  </si>
  <si>
    <t>ORD21007</t>
  </si>
  <si>
    <t>ORD21008</t>
  </si>
  <si>
    <t>ORD21009</t>
  </si>
  <si>
    <t>ORD21010</t>
  </si>
  <si>
    <t>ORD21011</t>
  </si>
  <si>
    <t>ORD21013</t>
  </si>
  <si>
    <t>ORD21014</t>
  </si>
  <si>
    <t>ORD21015</t>
  </si>
  <si>
    <t>ORD21016</t>
  </si>
  <si>
    <t>ORD21017</t>
  </si>
  <si>
    <t>ORD21019</t>
  </si>
  <si>
    <t>ORD21020</t>
  </si>
  <si>
    <t>ORD21021</t>
  </si>
  <si>
    <t>ORD21022</t>
  </si>
  <si>
    <t>ORD21023</t>
  </si>
  <si>
    <t>ORD21024</t>
  </si>
  <si>
    <t>ORD21025</t>
  </si>
  <si>
    <t>ORD21026</t>
  </si>
  <si>
    <t>ORD21027</t>
  </si>
  <si>
    <t>ORD21028</t>
  </si>
  <si>
    <t>ORD21029</t>
  </si>
  <si>
    <t>ORD21030</t>
  </si>
  <si>
    <t>ORD21031</t>
  </si>
  <si>
    <t>ORD21032</t>
  </si>
  <si>
    <t>ORD21033</t>
  </si>
  <si>
    <t>ORD21034</t>
  </si>
  <si>
    <t>ORD21035</t>
  </si>
  <si>
    <t>ORD21036</t>
  </si>
  <si>
    <t>ORD21037</t>
  </si>
  <si>
    <t>ORD21038</t>
  </si>
  <si>
    <t>ORD21040</t>
  </si>
  <si>
    <t>ORD21041</t>
  </si>
  <si>
    <t>ORD21042</t>
  </si>
  <si>
    <t>ORD21043</t>
  </si>
  <si>
    <t>ORD21044</t>
  </si>
  <si>
    <t>ORD21045</t>
  </si>
  <si>
    <t>ORD21046</t>
  </si>
  <si>
    <t>ORD21047</t>
  </si>
  <si>
    <t>ORD21048</t>
  </si>
  <si>
    <t>ORD21049</t>
  </si>
  <si>
    <t>ORD21050</t>
  </si>
  <si>
    <t>ORD21051</t>
  </si>
  <si>
    <t>ORD21052</t>
  </si>
  <si>
    <t>ORD21053</t>
  </si>
  <si>
    <t>ORD21054</t>
  </si>
  <si>
    <t>ORD21055</t>
  </si>
  <si>
    <t>ORD21056</t>
  </si>
  <si>
    <t>ORD21059</t>
  </si>
  <si>
    <t>ORD21060</t>
  </si>
  <si>
    <t>ORD21061</t>
  </si>
  <si>
    <t>ORD21062</t>
  </si>
  <si>
    <t>ORD21063</t>
  </si>
  <si>
    <t>ORD21064</t>
  </si>
  <si>
    <t>ORD21065</t>
  </si>
  <si>
    <t>ORD21066</t>
  </si>
  <si>
    <t>ORD21069</t>
  </si>
  <si>
    <t>ORD21071</t>
  </si>
  <si>
    <t>ORD21073</t>
  </si>
  <si>
    <t>ORD21074</t>
  </si>
  <si>
    <t>ORD21075</t>
  </si>
  <si>
    <t>ORD21077</t>
  </si>
  <si>
    <t>ORD21078</t>
  </si>
  <si>
    <t>ORD21079</t>
  </si>
  <si>
    <t>ORD21080</t>
  </si>
  <si>
    <t>ORD21081</t>
  </si>
  <si>
    <t>ORD21085</t>
  </si>
  <si>
    <t>ORD21086</t>
  </si>
  <si>
    <t>ORD21087</t>
  </si>
  <si>
    <t>ORD21088</t>
  </si>
  <si>
    <t>ORD21089</t>
  </si>
  <si>
    <t>ORD21092</t>
  </si>
  <si>
    <t>ORD21093</t>
  </si>
  <si>
    <t>ORD21094</t>
  </si>
  <si>
    <t>ORD21095</t>
  </si>
  <si>
    <t>ORD21097</t>
  </si>
  <si>
    <t>ORD21098</t>
  </si>
  <si>
    <t>ORD21099</t>
  </si>
  <si>
    <t>ORD21102</t>
  </si>
  <si>
    <t>ORD21104</t>
  </si>
  <si>
    <t>ORD21105</t>
  </si>
  <si>
    <t>ORD21106</t>
  </si>
  <si>
    <t>ORD21107</t>
  </si>
  <si>
    <t>ORD21108</t>
  </si>
  <si>
    <t>ORD21109</t>
  </si>
  <si>
    <t>ORD21111</t>
  </si>
  <si>
    <t>ORD21113</t>
  </si>
  <si>
    <t>ORD21114</t>
  </si>
  <si>
    <t>ORD21115</t>
  </si>
  <si>
    <t>ORD21117</t>
  </si>
  <si>
    <t>ORD21119</t>
  </si>
  <si>
    <t>ORD21120</t>
  </si>
  <si>
    <t>ORD21121</t>
  </si>
  <si>
    <t>ORD21122</t>
  </si>
  <si>
    <t>ORD21123</t>
  </si>
  <si>
    <t>ORD21125</t>
  </si>
  <si>
    <t>ORD21126</t>
  </si>
  <si>
    <t>ORD21127</t>
  </si>
  <si>
    <t>ORD21128</t>
  </si>
  <si>
    <t>ORD21130</t>
  </si>
  <si>
    <t>ORD21132</t>
  </si>
  <si>
    <t>ORD21133</t>
  </si>
  <si>
    <t>ORD21134</t>
  </si>
  <si>
    <t>ORD21135</t>
  </si>
  <si>
    <t>ORD21136</t>
  </si>
  <si>
    <t>ORD21137</t>
  </si>
  <si>
    <t>ORD21138</t>
  </si>
  <si>
    <t>ORD21139</t>
  </si>
  <si>
    <t>ORD21140</t>
  </si>
  <si>
    <t>ORD21141</t>
  </si>
  <si>
    <t>ORD21142</t>
  </si>
  <si>
    <t>ORD21143</t>
  </si>
  <si>
    <t>ORD21145</t>
  </si>
  <si>
    <t>ORD21146</t>
  </si>
  <si>
    <t>ORD21147</t>
  </si>
  <si>
    <t>ORD21148</t>
  </si>
  <si>
    <t>ORD21149</t>
  </si>
  <si>
    <t>ORD21150</t>
  </si>
  <si>
    <t>ORD21151</t>
  </si>
  <si>
    <t>ORD21152</t>
  </si>
  <si>
    <t>ORD21153</t>
  </si>
  <si>
    <t>ORD21154</t>
  </si>
  <si>
    <t>ORD21156</t>
  </si>
  <si>
    <t>ORD21157</t>
  </si>
  <si>
    <t>ORD21158</t>
  </si>
  <si>
    <t>ORD21159</t>
  </si>
  <si>
    <t>ORD21160</t>
  </si>
  <si>
    <t>ORD21161</t>
  </si>
  <si>
    <t>ORD21162</t>
  </si>
  <si>
    <t>ORD21163</t>
  </si>
  <si>
    <t>ORD21165</t>
  </si>
  <si>
    <t>ORD21166</t>
  </si>
  <si>
    <t>ORD21168</t>
  </si>
  <si>
    <t>ORD21169</t>
  </si>
  <si>
    <t>ORD21170</t>
  </si>
  <si>
    <t>ORD21171</t>
  </si>
  <si>
    <t>ORD21173</t>
  </si>
  <si>
    <t>ORD21175</t>
  </si>
  <si>
    <t>ORD21176</t>
  </si>
  <si>
    <t>ORD21178</t>
  </si>
  <si>
    <t>ORD21179</t>
  </si>
  <si>
    <t>ORD21181</t>
  </si>
  <si>
    <t>ORD21182</t>
  </si>
  <si>
    <t>ORD21183</t>
  </si>
  <si>
    <t>ORD21184</t>
  </si>
  <si>
    <t>ORD21185</t>
  </si>
  <si>
    <t>ORD21186</t>
  </si>
  <si>
    <t>ORD21187</t>
  </si>
  <si>
    <t>ORD21188</t>
  </si>
  <si>
    <t>ORD21189</t>
  </si>
  <si>
    <t>ORD21190</t>
  </si>
  <si>
    <t>ORD21191</t>
  </si>
  <si>
    <t>ORD21192</t>
  </si>
  <si>
    <t>ORD21194</t>
  </si>
  <si>
    <t>ORD21195</t>
  </si>
  <si>
    <t>ORD21198</t>
  </si>
  <si>
    <t>ORD21199</t>
  </si>
  <si>
    <t/>
  </si>
  <si>
    <t>Revenue</t>
  </si>
  <si>
    <t>Grand Total</t>
  </si>
  <si>
    <t>2023</t>
  </si>
  <si>
    <t>2024</t>
  </si>
  <si>
    <t>Jan</t>
  </si>
  <si>
    <t>Feb</t>
  </si>
  <si>
    <t>Mar</t>
  </si>
  <si>
    <t>Apr</t>
  </si>
  <si>
    <t>May</t>
  </si>
  <si>
    <t>Jun</t>
  </si>
  <si>
    <t>Jul</t>
  </si>
  <si>
    <t>Aug</t>
  </si>
  <si>
    <t>Sep</t>
  </si>
  <si>
    <t>Oct</t>
  </si>
  <si>
    <t>Nov</t>
  </si>
  <si>
    <t>Dec</t>
  </si>
  <si>
    <t xml:space="preserve"> Regions</t>
  </si>
  <si>
    <t>Total Revenue</t>
  </si>
  <si>
    <t>Year-Month</t>
  </si>
  <si>
    <t>Products</t>
  </si>
  <si>
    <t>Count of orders</t>
  </si>
  <si>
    <t>Month Wise Revenue</t>
  </si>
  <si>
    <t>Region Wise Revenue</t>
  </si>
  <si>
    <t>Product Wise Revenue</t>
  </si>
  <si>
    <t>Orders Count of Products</t>
  </si>
  <si>
    <t>Sales Insights</t>
  </si>
  <si>
    <t>Sales Trend Analysis</t>
  </si>
  <si>
    <t>Sales Performance Dashboard</t>
  </si>
  <si>
    <t xml:space="preserve">                                                  </t>
  </si>
  <si>
    <t>Select Month-Year</t>
  </si>
  <si>
    <t>Month Wise Orders Count</t>
  </si>
  <si>
    <t>Count of Orders</t>
  </si>
  <si>
    <t>product wise count</t>
  </si>
  <si>
    <t>(All)</t>
  </si>
  <si>
    <t>Select Product</t>
  </si>
  <si>
    <t>Month-Year</t>
  </si>
  <si>
    <t>Product wise Monthly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</si>
</sst>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quot;₹&quot;\ #,##0.0"/>
    <numFmt numFmtId="166" formatCode="&quot;₹&quot;\ #,##0"/>
  </numFmts>
  <fonts count="9" x14ac:knownFonts="1">
    <font>
      <sz val="11"/>
      <color theme="1"/>
      <name val="Calibri"/>
      <family val="2"/>
      <scheme val="minor"/>
    </font>
    <font>
      <b/>
      <sz val="11"/>
      <color theme="0"/>
      <name val="Calibri"/>
      <family val="2"/>
      <scheme val="minor"/>
    </font>
    <font>
      <sz val="18"/>
      <color theme="1"/>
      <name val="Agency FB"/>
      <family val="2"/>
    </font>
    <font>
      <sz val="20"/>
      <color theme="1"/>
      <name val="Agency FB"/>
      <family val="2"/>
    </font>
    <font>
      <sz val="22"/>
      <color theme="1"/>
      <name val="Agency FB"/>
      <family val="2"/>
    </font>
    <font>
      <sz val="18"/>
      <color theme="1"/>
      <name val="Arial Black"/>
      <family val="2"/>
    </font>
    <font>
      <sz val="22"/>
      <color theme="1"/>
      <name val="Britannic Bold"/>
      <family val="2"/>
    </font>
    <font>
      <u/>
      <sz val="22"/>
      <color theme="1"/>
      <name val="Britannic Bold"/>
      <family val="2"/>
    </font>
    <font>
      <u/>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s>
  <borders count="14">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14" fontId="0" fillId="0" borderId="0" xfId="0" applyNumberFormat="1"/>
    <xf numFmtId="0" fontId="0" fillId="2" borderId="1" xfId="0" applyFont="1" applyFill="1" applyBorder="1"/>
    <xf numFmtId="0" fontId="0" fillId="3" borderId="1" xfId="0" applyFont="1" applyFill="1" applyBorder="1"/>
    <xf numFmtId="164" fontId="0" fillId="0" borderId="0" xfId="0" applyNumberFormat="1"/>
    <xf numFmtId="0" fontId="1" fillId="4" borderId="0" xfId="0" applyFont="1" applyFill="1" applyBorder="1"/>
    <xf numFmtId="14" fontId="1" fillId="4" borderId="2" xfId="0" applyNumberFormat="1" applyFont="1" applyFill="1" applyBorder="1"/>
    <xf numFmtId="0" fontId="1" fillId="4" borderId="2" xfId="0" applyFont="1" applyFill="1" applyBorder="1"/>
    <xf numFmtId="164" fontId="1" fillId="4" borderId="2" xfId="0" applyNumberFormat="1" applyFont="1" applyFill="1" applyBorder="1"/>
    <xf numFmtId="0" fontId="0" fillId="3" borderId="3" xfId="0" applyFont="1" applyFill="1" applyBorder="1"/>
    <xf numFmtId="14" fontId="0" fillId="3" borderId="4" xfId="0" applyNumberFormat="1" applyFont="1" applyFill="1" applyBorder="1"/>
    <xf numFmtId="0" fontId="0" fillId="3" borderId="4" xfId="0" applyFont="1" applyFill="1" applyBorder="1"/>
    <xf numFmtId="164" fontId="0" fillId="3" borderId="4" xfId="0" applyNumberFormat="1" applyFont="1" applyFill="1" applyBorder="1"/>
    <xf numFmtId="0" fontId="0" fillId="2" borderId="5" xfId="0" applyFont="1" applyFill="1" applyBorder="1"/>
    <xf numFmtId="14" fontId="0" fillId="2" borderId="1" xfId="0" applyNumberFormat="1" applyFont="1" applyFill="1" applyBorder="1"/>
    <xf numFmtId="164" fontId="0" fillId="2" borderId="1" xfId="0" applyNumberFormat="1" applyFont="1" applyFill="1" applyBorder="1"/>
    <xf numFmtId="0" fontId="0" fillId="3" borderId="5" xfId="0" applyFont="1" applyFill="1" applyBorder="1"/>
    <xf numFmtId="14" fontId="0" fillId="3" borderId="1" xfId="0" applyNumberFormat="1" applyFont="1" applyFill="1" applyBorder="1"/>
    <xf numFmtId="164" fontId="0" fillId="3" borderId="1" xfId="0" applyNumberFormat="1" applyFont="1" applyFill="1" applyBorder="1"/>
    <xf numFmtId="0" fontId="0" fillId="0" borderId="0" xfId="0" applyAlignment="1">
      <alignment horizontal="left"/>
    </xf>
    <xf numFmtId="0" fontId="0" fillId="0" borderId="0" xfId="0" applyNumberFormat="1"/>
    <xf numFmtId="0" fontId="0" fillId="0" borderId="0" xfId="0"/>
    <xf numFmtId="0" fontId="0" fillId="0" borderId="0" xfId="0" applyAlignment="1"/>
    <xf numFmtId="0" fontId="3" fillId="0" borderId="0" xfId="0" applyFont="1" applyAlignment="1">
      <alignment vertical="center"/>
    </xf>
    <xf numFmtId="0" fontId="3" fillId="0" borderId="0" xfId="0" applyFont="1" applyBorder="1" applyAlignment="1">
      <alignment vertical="center"/>
    </xf>
    <xf numFmtId="0" fontId="2" fillId="0" borderId="0" xfId="0" applyFont="1" applyAlignment="1">
      <alignment vertical="center"/>
    </xf>
    <xf numFmtId="0" fontId="0" fillId="0" borderId="0" xfId="0"/>
    <xf numFmtId="165" fontId="0" fillId="0" borderId="0" xfId="0" applyNumberFormat="1"/>
    <xf numFmtId="0" fontId="0" fillId="0" borderId="0" xfId="0" applyNumberFormat="1" applyBorder="1"/>
    <xf numFmtId="0" fontId="0" fillId="0" borderId="0" xfId="0" pivotButton="1" applyBorder="1"/>
    <xf numFmtId="0" fontId="0" fillId="0" borderId="0" xfId="0" applyBorder="1"/>
    <xf numFmtId="0" fontId="0" fillId="0" borderId="0" xfId="0" applyBorder="1" applyAlignment="1">
      <alignment horizontal="left"/>
    </xf>
    <xf numFmtId="166" fontId="0" fillId="0" borderId="0" xfId="0" applyNumberFormat="1" applyBorder="1"/>
    <xf numFmtId="165" fontId="0" fillId="0" borderId="0" xfId="0" applyNumberFormat="1" applyBorder="1"/>
    <xf numFmtId="0" fontId="0" fillId="0" borderId="0" xfId="0" applyBorder="1" applyAlignment="1"/>
    <xf numFmtId="0" fontId="2" fillId="0" borderId="0" xfId="0" applyFont="1" applyBorder="1" applyAlignment="1">
      <alignment vertical="center"/>
    </xf>
    <xf numFmtId="0" fontId="4" fillId="0" borderId="0" xfId="0" applyFont="1" applyBorder="1" applyAlignment="1">
      <alignment vertical="center"/>
    </xf>
    <xf numFmtId="0" fontId="0" fillId="5" borderId="0" xfId="0" applyFill="1"/>
    <xf numFmtId="0" fontId="0" fillId="5" borderId="0" xfId="0" applyFill="1" applyAlignment="1"/>
    <xf numFmtId="166" fontId="0" fillId="5" borderId="0" xfId="0" applyNumberFormat="1" applyFill="1"/>
    <xf numFmtId="0" fontId="5" fillId="5" borderId="0" xfId="0" applyFont="1" applyFill="1" applyBorder="1" applyAlignment="1">
      <alignment vertical="center"/>
    </xf>
    <xf numFmtId="0" fontId="0" fillId="0" borderId="0" xfId="0"/>
    <xf numFmtId="0" fontId="8" fillId="5" borderId="0" xfId="0" applyFont="1" applyFill="1"/>
    <xf numFmtId="0" fontId="0" fillId="0" borderId="0" xfId="0" pivotButton="1"/>
    <xf numFmtId="0" fontId="7" fillId="5" borderId="0" xfId="0" applyFont="1" applyFill="1" applyBorder="1" applyAlignment="1">
      <alignment vertical="center"/>
    </xf>
    <xf numFmtId="0" fontId="4" fillId="0" borderId="0" xfId="0" applyFont="1" applyBorder="1" applyAlignment="1">
      <alignment horizontal="center" vertical="center"/>
    </xf>
    <xf numFmtId="0" fontId="3" fillId="0" borderId="0" xfId="0" applyFont="1" applyBorder="1" applyAlignment="1">
      <alignment horizontal="center" vertical="center"/>
    </xf>
    <xf numFmtId="0" fontId="2" fillId="0" borderId="0" xfId="0" applyFont="1" applyBorder="1" applyAlignment="1">
      <alignment horizontal="center" vertical="center"/>
    </xf>
    <xf numFmtId="0" fontId="0" fillId="0" borderId="0" xfId="0" applyAlignment="1"/>
    <xf numFmtId="0" fontId="4" fillId="0" borderId="0" xfId="0" applyFont="1" applyAlignment="1">
      <alignment horizontal="center" vertical="center"/>
    </xf>
    <xf numFmtId="0" fontId="0" fillId="0" borderId="0" xfId="0"/>
    <xf numFmtId="0" fontId="6" fillId="5" borderId="0"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0"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cellXfs>
  <cellStyles count="1">
    <cellStyle name="Normal" xfId="0" builtinId="0"/>
  </cellStyles>
  <dxfs count="41">
    <dxf>
      <border>
        <left/>
        <right/>
        <top/>
        <bottom/>
      </border>
    </dxf>
    <dxf>
      <border>
        <left/>
        <right/>
        <top/>
        <bottom/>
      </border>
    </dxf>
    <dxf>
      <border>
        <left/>
        <right/>
        <top/>
        <bottom/>
      </border>
    </dxf>
    <dxf>
      <border>
        <left/>
        <right/>
        <top/>
        <bottom/>
      </border>
    </dxf>
    <dxf>
      <border>
        <left/>
        <right/>
        <top/>
        <bottom/>
      </border>
    </dxf>
    <dxf>
      <numFmt numFmtId="165" formatCode="&quot;₹&quot;\ #,##0.0"/>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 #,##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quot;₹&quot;\ #,##0.0"/>
    </dxf>
    <dxf>
      <numFmt numFmtId="165" formatCode="&quot;₹&quot;\ #,##0.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Tables!PivotTable1</c:name>
    <c:fmtId val="5"/>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defRPr>
            </a:pPr>
            <a:r>
              <a: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c:f>
              <c:strCache>
                <c:ptCount val="1"/>
                <c:pt idx="0">
                  <c:v>Total</c:v>
                </c:pt>
              </c:strCache>
            </c:strRef>
          </c:tx>
          <c:spPr>
            <a:solidFill>
              <a:srgbClr val="0070C0"/>
            </a:solidFill>
            <a:ln>
              <a:solidFill>
                <a:schemeClr val="tx2">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Tables'!$B$6:$B$10</c:f>
              <c:strCache>
                <c:ptCount val="4"/>
                <c:pt idx="0">
                  <c:v>West</c:v>
                </c:pt>
                <c:pt idx="1">
                  <c:v>East</c:v>
                </c:pt>
                <c:pt idx="2">
                  <c:v>North</c:v>
                </c:pt>
                <c:pt idx="3">
                  <c:v>South</c:v>
                </c:pt>
              </c:strCache>
            </c:strRef>
          </c:cat>
          <c:val>
            <c:numRef>
              <c:f>'Pivot Tables'!$C$6:$C$10</c:f>
              <c:numCache>
                <c:formatCode>"₹"\ #,##0</c:formatCode>
                <c:ptCount val="4"/>
                <c:pt idx="0">
                  <c:v>35075942</c:v>
                </c:pt>
                <c:pt idx="1">
                  <c:v>34590347</c:v>
                </c:pt>
                <c:pt idx="2">
                  <c:v>34122586</c:v>
                </c:pt>
                <c:pt idx="3">
                  <c:v>34010615</c:v>
                </c:pt>
              </c:numCache>
            </c:numRef>
          </c:val>
          <c:extLst>
            <c:ext xmlns:c16="http://schemas.microsoft.com/office/drawing/2014/chart" uri="{C3380CC4-5D6E-409C-BE32-E72D297353CC}">
              <c16:uniqueId val="{00000000-DE8D-4EF5-9E9E-2824951317E5}"/>
            </c:ext>
          </c:extLst>
        </c:ser>
        <c:dLbls>
          <c:dLblPos val="outEnd"/>
          <c:showLegendKey val="0"/>
          <c:showVal val="1"/>
          <c:showCatName val="0"/>
          <c:showSerName val="0"/>
          <c:showPercent val="0"/>
          <c:showBubbleSize val="0"/>
        </c:dLbls>
        <c:gapWidth val="150"/>
        <c:axId val="484241855"/>
        <c:axId val="484246655"/>
      </c:barChart>
      <c:catAx>
        <c:axId val="4842418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Regions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4246655"/>
        <c:crosses val="autoZero"/>
        <c:auto val="1"/>
        <c:lblAlgn val="ctr"/>
        <c:lblOffset val="100"/>
        <c:noMultiLvlLbl val="0"/>
      </c:catAx>
      <c:valAx>
        <c:axId val="4842466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424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erlin Sans FB Demi" panose="020E0802020502020306" pitchFamily="34" charset="0"/>
                <a:ea typeface="+mn-ea"/>
                <a:cs typeface="+mn-cs"/>
              </a:defRPr>
            </a:pPr>
            <a:r>
              <a:rPr lang="en-IN" sz="1400" b="1" i="0" u="none" strike="noStrike" baseline="0">
                <a:effectLst/>
                <a:latin typeface="Berlin Sans FB Demi" panose="020E0802020502020306" pitchFamily="34" charset="0"/>
              </a:rPr>
              <a:t>Revenue by Product</a:t>
            </a:r>
            <a:endParaRPr lang="en-US" sz="14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erlin Sans FB Demi" panose="020E0802020502020306"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c:spPr>
        <c:dLbl>
          <c:idx val="0"/>
          <c:layout>
            <c:manualLayout>
              <c:x val="5.17315344435924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F0"/>
          </a:solidFill>
          <a:ln>
            <a:noFill/>
          </a:ln>
          <a:effectLst/>
        </c:spPr>
        <c:dLbl>
          <c:idx val="0"/>
          <c:layout>
            <c:manualLayout>
              <c:x val="4.2325800908393899E-2"/>
              <c:y val="1.1199920042565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lumMod val="25000"/>
              <a:lumOff val="75000"/>
            </a:schemeClr>
          </a:solidFill>
          <a:ln>
            <a:noFill/>
          </a:ln>
          <a:effectLst/>
        </c:spPr>
        <c:dLbl>
          <c:idx val="0"/>
          <c:layout>
            <c:manualLayout>
              <c:x val="-0.25442175938689432"/>
              <c:y val="-7.83994402979590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1">
              <a:lumMod val="50000"/>
            </a:schemeClr>
          </a:solidFill>
          <a:ln>
            <a:noFill/>
          </a:ln>
          <a:effectLst/>
        </c:spPr>
        <c:dLbl>
          <c:idx val="0"/>
          <c:layout>
            <c:manualLayout>
              <c:x val="-5.9014497605148417E-2"/>
              <c:y val="-0.1157325071065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1">
              <a:lumMod val="65000"/>
            </a:schemeClr>
          </a:solidFill>
          <a:ln>
            <a:noFill/>
          </a:ln>
          <a:effectLst/>
        </c:spPr>
        <c:dLbl>
          <c:idx val="0"/>
          <c:layout>
            <c:manualLayout>
              <c:x val="-0.131680269492781"/>
              <c:y val="1.49332267234207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Tables'!$G$5</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01-553A-41B8-A743-2503E787A84F}"/>
              </c:ext>
            </c:extLst>
          </c:dPt>
          <c:dPt>
            <c:idx val="1"/>
            <c:bubble3D val="0"/>
            <c:spPr>
              <a:solidFill>
                <a:srgbClr val="00B0F0"/>
              </a:solidFill>
              <a:ln>
                <a:noFill/>
              </a:ln>
              <a:effectLst/>
            </c:spPr>
            <c:extLst>
              <c:ext xmlns:c16="http://schemas.microsoft.com/office/drawing/2014/chart" uri="{C3380CC4-5D6E-409C-BE32-E72D297353CC}">
                <c16:uniqueId val="{00000003-553A-41B8-A743-2503E787A84F}"/>
              </c:ext>
            </c:extLst>
          </c:dPt>
          <c:dPt>
            <c:idx val="2"/>
            <c:bubble3D val="0"/>
            <c:spPr>
              <a:solidFill>
                <a:schemeClr val="tx2">
                  <a:lumMod val="25000"/>
                  <a:lumOff val="75000"/>
                </a:schemeClr>
              </a:solidFill>
              <a:ln>
                <a:noFill/>
              </a:ln>
              <a:effectLst/>
            </c:spPr>
            <c:extLst>
              <c:ext xmlns:c16="http://schemas.microsoft.com/office/drawing/2014/chart" uri="{C3380CC4-5D6E-409C-BE32-E72D297353CC}">
                <c16:uniqueId val="{00000005-553A-41B8-A743-2503E787A84F}"/>
              </c:ext>
            </c:extLst>
          </c:dPt>
          <c:dPt>
            <c:idx val="3"/>
            <c:bubble3D val="0"/>
            <c:spPr>
              <a:solidFill>
                <a:schemeClr val="bg1">
                  <a:lumMod val="50000"/>
                </a:schemeClr>
              </a:solidFill>
              <a:ln>
                <a:noFill/>
              </a:ln>
              <a:effectLst/>
            </c:spPr>
            <c:extLst>
              <c:ext xmlns:c16="http://schemas.microsoft.com/office/drawing/2014/chart" uri="{C3380CC4-5D6E-409C-BE32-E72D297353CC}">
                <c16:uniqueId val="{00000007-553A-41B8-A743-2503E787A84F}"/>
              </c:ext>
            </c:extLst>
          </c:dPt>
          <c:dPt>
            <c:idx val="4"/>
            <c:bubble3D val="0"/>
            <c:spPr>
              <a:solidFill>
                <a:schemeClr val="bg1">
                  <a:lumMod val="65000"/>
                </a:schemeClr>
              </a:solidFill>
              <a:ln>
                <a:noFill/>
              </a:ln>
              <a:effectLst/>
            </c:spPr>
            <c:extLst>
              <c:ext xmlns:c16="http://schemas.microsoft.com/office/drawing/2014/chart" uri="{C3380CC4-5D6E-409C-BE32-E72D297353CC}">
                <c16:uniqueId val="{00000009-553A-41B8-A743-2503E787A84F}"/>
              </c:ext>
            </c:extLst>
          </c:dPt>
          <c:dLbls>
            <c:dLbl>
              <c:idx val="0"/>
              <c:layout>
                <c:manualLayout>
                  <c:x val="5.173153444359245E-2"/>
                  <c:y val="0"/>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3A-41B8-A743-2503E787A84F}"/>
                </c:ext>
              </c:extLst>
            </c:dLbl>
            <c:dLbl>
              <c:idx val="1"/>
              <c:layout>
                <c:manualLayout>
                  <c:x val="4.2325800908393899E-2"/>
                  <c:y val="1.1199920042565575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3A-41B8-A743-2503E787A84F}"/>
                </c:ext>
              </c:extLst>
            </c:dLbl>
            <c:dLbl>
              <c:idx val="2"/>
              <c:layout>
                <c:manualLayout>
                  <c:x val="-0.25442175938689432"/>
                  <c:y val="-7.8399440297959033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3A-41B8-A743-2503E787A84F}"/>
                </c:ext>
              </c:extLst>
            </c:dLbl>
            <c:dLbl>
              <c:idx val="3"/>
              <c:layout>
                <c:manualLayout>
                  <c:x val="-5.9014497605148417E-2"/>
                  <c:y val="-0.1157325071065110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3A-41B8-A743-2503E787A84F}"/>
                </c:ext>
              </c:extLst>
            </c:dLbl>
            <c:dLbl>
              <c:idx val="4"/>
              <c:layout>
                <c:manualLayout>
                  <c:x val="-0.131680269492781"/>
                  <c:y val="1.4933226723420767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53A-41B8-A743-2503E787A84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Tables'!$F$6:$F$11</c:f>
              <c:strCache>
                <c:ptCount val="5"/>
                <c:pt idx="0">
                  <c:v>Laptop</c:v>
                </c:pt>
                <c:pt idx="1">
                  <c:v>Tablet</c:v>
                </c:pt>
                <c:pt idx="2">
                  <c:v>Headphones</c:v>
                </c:pt>
                <c:pt idx="3">
                  <c:v>Monitor</c:v>
                </c:pt>
                <c:pt idx="4">
                  <c:v>Phone</c:v>
                </c:pt>
              </c:strCache>
            </c:strRef>
          </c:cat>
          <c:val>
            <c:numRef>
              <c:f>'Pivot Tables'!$G$6:$G$11</c:f>
              <c:numCache>
                <c:formatCode>"₹"\ #,##0.0</c:formatCode>
                <c:ptCount val="5"/>
                <c:pt idx="0">
                  <c:v>30179810</c:v>
                </c:pt>
                <c:pt idx="1">
                  <c:v>27637043</c:v>
                </c:pt>
                <c:pt idx="2">
                  <c:v>27510036</c:v>
                </c:pt>
                <c:pt idx="3">
                  <c:v>26699591</c:v>
                </c:pt>
                <c:pt idx="4">
                  <c:v>25773010</c:v>
                </c:pt>
              </c:numCache>
            </c:numRef>
          </c:val>
          <c:extLst>
            <c:ext xmlns:c16="http://schemas.microsoft.com/office/drawing/2014/chart" uri="{C3380CC4-5D6E-409C-BE32-E72D297353CC}">
              <c16:uniqueId val="{00000000-0562-45F4-AF4F-6DA9935E0E31}"/>
            </c:ext>
          </c:extLst>
        </c:ser>
        <c:dLbls>
          <c:showLegendKey val="0"/>
          <c:showVal val="0"/>
          <c:showCatName val="0"/>
          <c:showSerName val="0"/>
          <c:showPercent val="0"/>
          <c:showBubbleSize val="0"/>
          <c:showLeaderLines val="0"/>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Tables!PivotTable4</c:name>
    <c:fmtId val="2"/>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defRPr>
            </a:pPr>
            <a:r>
              <a: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rPr>
              <a:t>Orders by Product</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Tables'!$K$5</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Tables'!$J$6:$J$11</c:f>
              <c:strCache>
                <c:ptCount val="5"/>
                <c:pt idx="0">
                  <c:v>Laptop</c:v>
                </c:pt>
                <c:pt idx="1">
                  <c:v>Headphones</c:v>
                </c:pt>
                <c:pt idx="2">
                  <c:v>Phone</c:v>
                </c:pt>
                <c:pt idx="3">
                  <c:v>Monitor</c:v>
                </c:pt>
                <c:pt idx="4">
                  <c:v>Tablet</c:v>
                </c:pt>
              </c:strCache>
            </c:strRef>
          </c:cat>
          <c:val>
            <c:numRef>
              <c:f>'Pivot Tables'!$K$6:$K$11</c:f>
              <c:numCache>
                <c:formatCode>General</c:formatCode>
                <c:ptCount val="5"/>
                <c:pt idx="0">
                  <c:v>225</c:v>
                </c:pt>
                <c:pt idx="1">
                  <c:v>197</c:v>
                </c:pt>
                <c:pt idx="2">
                  <c:v>192</c:v>
                </c:pt>
                <c:pt idx="3">
                  <c:v>185</c:v>
                </c:pt>
                <c:pt idx="4">
                  <c:v>183</c:v>
                </c:pt>
              </c:numCache>
            </c:numRef>
          </c:val>
          <c:extLst>
            <c:ext xmlns:c16="http://schemas.microsoft.com/office/drawing/2014/chart" uri="{C3380CC4-5D6E-409C-BE32-E72D297353CC}">
              <c16:uniqueId val="{00000000-7C8C-4B29-999E-3008590B3173}"/>
            </c:ext>
          </c:extLst>
        </c:ser>
        <c:dLbls>
          <c:dLblPos val="outEnd"/>
          <c:showLegendKey val="0"/>
          <c:showVal val="1"/>
          <c:showCatName val="0"/>
          <c:showSerName val="0"/>
          <c:showPercent val="0"/>
          <c:showBubbleSize val="0"/>
        </c:dLbls>
        <c:gapWidth val="150"/>
        <c:overlap val="-27"/>
        <c:axId val="1582269775"/>
        <c:axId val="1582275055"/>
      </c:barChart>
      <c:catAx>
        <c:axId val="15822697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Products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2275055"/>
        <c:crosses val="autoZero"/>
        <c:auto val="1"/>
        <c:lblAlgn val="ctr"/>
        <c:lblOffset val="100"/>
        <c:noMultiLvlLbl val="0"/>
      </c:catAx>
      <c:valAx>
        <c:axId val="15822750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Orders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2269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Tables!PivotTable3</c:name>
    <c:fmtId val="4"/>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defRPr>
            </a:pPr>
            <a:r>
              <a: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rPr>
              <a:t>Monthly Revenue Trend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effectLst/>
              <a:latin typeface="Berlin Sans FB Demi" panose="020E0802020502020306"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5028552330481032E-2"/>
              <c:y val="0.11349836998369578"/>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2775729645088022E-2"/>
                  <c:h val="0.11511598413484581"/>
                </c:manualLayout>
              </c15:layout>
            </c:ext>
          </c:extLst>
        </c:dLbl>
      </c:pivotFmt>
      <c:pivotFmt>
        <c:idx val="6"/>
        <c:spPr>
          <a:ln w="28575" cap="rnd">
            <a:solidFill>
              <a:schemeClr val="accent1"/>
            </a:solidFill>
            <a:round/>
          </a:ln>
          <a:effectLst/>
        </c:spPr>
        <c:marker>
          <c:symbol val="none"/>
        </c:marker>
        <c:dLbl>
          <c:idx val="0"/>
          <c:layout>
            <c:manualLayout>
              <c:x val="-4.2536490456795931E-2"/>
              <c:y val="-0.14562648075705942"/>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2972175215069555E-2"/>
                  <c:h val="0.11172872944076423"/>
                </c:manualLayout>
              </c15:layout>
            </c:ext>
          </c:extLst>
        </c:dLbl>
      </c:pivotFmt>
      <c:pivotFmt>
        <c:idx val="7"/>
        <c:spPr>
          <a:ln w="28575" cap="rnd">
            <a:solidFill>
              <a:schemeClr val="accent1"/>
            </a:solidFill>
            <a:round/>
          </a:ln>
          <a:effectLst/>
        </c:spPr>
        <c:marker>
          <c:symbol val="none"/>
        </c:marker>
        <c:dLbl>
          <c:idx val="0"/>
          <c:layout>
            <c:manualLayout>
              <c:x val="-0.10661445550406078"/>
              <c:y val="-0.16086926023691045"/>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868205956157451E-2"/>
                  <c:h val="0.12866500291117206"/>
                </c:manualLayout>
              </c15:layout>
            </c:ext>
          </c:extLst>
        </c:dLbl>
      </c:pivotFmt>
      <c:pivotFmt>
        <c:idx val="8"/>
        <c:spPr>
          <a:ln w="28575" cap="rnd">
            <a:solidFill>
              <a:schemeClr val="accent1"/>
            </a:solidFill>
            <a:round/>
          </a:ln>
          <a:effectLst/>
        </c:spPr>
        <c:marker>
          <c:symbol val="none"/>
        </c:marker>
        <c:dLbl>
          <c:idx val="0"/>
          <c:layout>
            <c:manualLayout>
              <c:x val="-3.1233617611345064E-3"/>
              <c:y val="0.15922630835379684"/>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137511898987077E-2"/>
                  <c:h val="0.20657186087504792"/>
                </c:manualLayout>
              </c15:layout>
            </c:ext>
          </c:extLst>
        </c:dLbl>
      </c:pivotFmt>
      <c:pivotFmt>
        <c:idx val="9"/>
        <c:spPr>
          <a:ln w="28575" cap="rnd">
            <a:solidFill>
              <a:schemeClr val="accent1"/>
            </a:solidFill>
            <a:round/>
          </a:ln>
          <a:effectLst/>
        </c:spPr>
        <c:marker>
          <c:symbol val="none"/>
        </c:marker>
        <c:dLbl>
          <c:idx val="0"/>
          <c:layout>
            <c:manualLayout>
              <c:x val="-0.10136219311807203"/>
              <c:y val="-0.16256248751449923"/>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5773396525504045E-2"/>
                  <c:h val="0.12527774821709048"/>
                </c:manualLayout>
              </c15:layout>
            </c:ext>
          </c:extLst>
        </c:dLbl>
      </c:pivotFmt>
      <c:pivotFmt>
        <c:idx val="10"/>
        <c:spPr>
          <a:ln w="28575" cap="rnd">
            <a:solidFill>
              <a:schemeClr val="accent1"/>
            </a:solidFill>
            <a:round/>
          </a:ln>
          <a:effectLst/>
        </c:spPr>
        <c:marker>
          <c:symbol val="none"/>
        </c:marker>
        <c:dLbl>
          <c:idx val="0"/>
          <c:layout>
            <c:manualLayout>
              <c:x val="3.0141141300275096E-2"/>
              <c:y val="0.15075830497507703"/>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469928420524197E-2"/>
                  <c:h val="0.14221402168749828"/>
                </c:manualLayout>
              </c15:layout>
            </c:ext>
          </c:extLst>
        </c:dLbl>
      </c:pivotFmt>
      <c:pivotFmt>
        <c:idx val="11"/>
        <c:spPr>
          <a:ln w="28575" cap="rnd">
            <a:solidFill>
              <a:schemeClr val="accent1"/>
            </a:solidFill>
            <a:round/>
          </a:ln>
          <a:effectLst/>
        </c:spPr>
        <c:marker>
          <c:symbol val="none"/>
        </c:marker>
        <c:dLbl>
          <c:idx val="0"/>
          <c:layout>
            <c:manualLayout>
              <c:x val="-0.11886979873721164"/>
              <c:y val="-2.8766327167729651E-2"/>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456851128376607E-2"/>
                  <c:h val="0.12866500291117206"/>
                </c:manualLayout>
              </c15:layout>
            </c:ext>
          </c:extLst>
        </c:dLbl>
      </c:pivotFmt>
      <c:pivotFmt>
        <c:idx val="12"/>
        <c:spPr>
          <a:ln w="28575" cap="rnd">
            <a:solidFill>
              <a:schemeClr val="accent1"/>
            </a:solidFill>
            <a:round/>
          </a:ln>
          <a:effectLst/>
        </c:spPr>
        <c:marker>
          <c:symbol val="none"/>
        </c:marker>
        <c:dLbl>
          <c:idx val="0"/>
          <c:layout>
            <c:manualLayout>
              <c:x val="1.5826900403954763E-3"/>
              <c:y val="0.14567728957747064"/>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4764236697245361E-2"/>
                  <c:h val="0.15237578576974295"/>
                </c:manualLayout>
              </c15:layout>
            </c:ext>
          </c:extLst>
        </c:dLbl>
      </c:pivotFmt>
      <c:pivotFmt>
        <c:idx val="13"/>
        <c:spPr>
          <a:ln w="28575" cap="rnd">
            <a:solidFill>
              <a:schemeClr val="accent1"/>
            </a:solidFill>
            <a:round/>
          </a:ln>
          <a:effectLst/>
        </c:spPr>
        <c:marker>
          <c:symbol val="none"/>
        </c:marker>
        <c:dLbl>
          <c:idx val="0"/>
          <c:layout>
            <c:manualLayout>
              <c:x val="-5.8293415470141711E-2"/>
              <c:y val="-0.11852817649143892"/>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6669427266591955E-2"/>
                  <c:h val="0.11172872944076423"/>
                </c:manualLayout>
              </c15:layout>
            </c:ext>
          </c:extLst>
        </c:dLbl>
      </c:pivotFmt>
      <c:pivotFmt>
        <c:idx val="14"/>
        <c:spPr>
          <a:ln w="28575" cap="rnd">
            <a:solidFill>
              <a:schemeClr val="accent1"/>
            </a:solidFill>
            <a:round/>
          </a:ln>
          <a:effectLst/>
        </c:spPr>
        <c:marker>
          <c:symbol val="none"/>
        </c:marker>
        <c:dLbl>
          <c:idx val="0"/>
          <c:layout>
            <c:manualLayout>
              <c:x val="-1.6807327862617544E-4"/>
              <c:y val="0.17616258182420469"/>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663320714419504E-2"/>
                  <c:h val="0.12527774821709048"/>
                </c:manualLayout>
              </c15:layout>
            </c:ext>
          </c:extLst>
        </c:dLbl>
      </c:pivotFmt>
      <c:pivotFmt>
        <c:idx val="15"/>
        <c:spPr>
          <a:ln w="28575" cap="rnd">
            <a:solidFill>
              <a:schemeClr val="accent1"/>
            </a:solidFill>
            <a:round/>
          </a:ln>
          <a:effectLst/>
        </c:spPr>
        <c:marker>
          <c:symbol val="none"/>
        </c:marker>
        <c:dLbl>
          <c:idx val="0"/>
          <c:layout>
            <c:manualLayout>
              <c:x val="-6.9148148048075356E-2"/>
              <c:y val="-0.11006043982568707"/>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3363626042028137E-2"/>
                  <c:h val="0.11511598413484581"/>
                </c:manualLayout>
              </c15:layout>
            </c:ext>
          </c:extLst>
        </c:dLbl>
      </c:pivotFmt>
      <c:pivotFmt>
        <c:idx val="16"/>
        <c:spPr>
          <a:ln w="28575" cap="rnd">
            <a:solidFill>
              <a:schemeClr val="accent1"/>
            </a:solidFill>
            <a:round/>
          </a:ln>
          <a:effectLst/>
        </c:spPr>
        <c:marker>
          <c:symbol val="none"/>
        </c:marker>
        <c:dLbl>
          <c:idx val="0"/>
          <c:layout>
            <c:manualLayout>
              <c:x val="-1.4174179830798515E-2"/>
              <c:y val="0.13382176479170116"/>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7060878093550531E-2"/>
                  <c:h val="0.10156696535851956"/>
                </c:manualLayout>
              </c15:layout>
            </c:ext>
          </c:extLst>
        </c:dLbl>
      </c:pivotFmt>
      <c:pivotFmt>
        <c:idx val="17"/>
        <c:spPr>
          <a:ln w="28575" cap="rnd">
            <a:solidFill>
              <a:schemeClr val="accent1"/>
            </a:solidFill>
            <a:round/>
          </a:ln>
          <a:effectLst/>
        </c:spPr>
        <c:marker>
          <c:symbol val="none"/>
        </c:marker>
        <c:dLbl>
          <c:idx val="0"/>
          <c:layout>
            <c:manualLayout>
              <c:x val="-2.2952724942616545E-2"/>
              <c:y val="-0.1327995077065554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Tables'!$O$5:$O$6</c:f>
              <c:strCache>
                <c:ptCount val="1"/>
                <c:pt idx="0">
                  <c:v>2023</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A349-4E94-8249-5881A5EEE01B}"/>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A349-4E94-8249-5881A5EEE01B}"/>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A349-4E94-8249-5881A5EEE01B}"/>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A349-4E94-8249-5881A5EEE01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A349-4E94-8249-5881A5EEE01B}"/>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A349-4E94-8249-5881A5EEE01B}"/>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6-A349-4E94-8249-5881A5EEE01B}"/>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7-A349-4E94-8249-5881A5EEE01B}"/>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8-A349-4E94-8249-5881A5EEE01B}"/>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9-A349-4E94-8249-5881A5EEE01B}"/>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A-A349-4E94-8249-5881A5EEE01B}"/>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B-A349-4E94-8249-5881A5EEE01B}"/>
              </c:ext>
            </c:extLst>
          </c:dPt>
          <c:dLbls>
            <c:dLbl>
              <c:idx val="0"/>
              <c:layout>
                <c:manualLayout>
                  <c:x val="-4.2536490456795931E-2"/>
                  <c:y val="-0.14562648075705942"/>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2972175215069555E-2"/>
                      <c:h val="0.11172872944076423"/>
                    </c:manualLayout>
                  </c15:layout>
                </c:ext>
                <c:ext xmlns:c16="http://schemas.microsoft.com/office/drawing/2014/chart" uri="{C3380CC4-5D6E-409C-BE32-E72D297353CC}">
                  <c16:uniqueId val="{00000001-A349-4E94-8249-5881A5EEE01B}"/>
                </c:ext>
              </c:extLst>
            </c:dLbl>
            <c:dLbl>
              <c:idx val="1"/>
              <c:layout>
                <c:manualLayout>
                  <c:x val="-1.5028552330481032E-2"/>
                  <c:y val="0.11349836998369578"/>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2775729645088022E-2"/>
                      <c:h val="0.11511598413484581"/>
                    </c:manualLayout>
                  </c15:layout>
                </c:ext>
                <c:ext xmlns:c16="http://schemas.microsoft.com/office/drawing/2014/chart" uri="{C3380CC4-5D6E-409C-BE32-E72D297353CC}">
                  <c16:uniqueId val="{00000000-A349-4E94-8249-5881A5EEE01B}"/>
                </c:ext>
              </c:extLst>
            </c:dLbl>
            <c:dLbl>
              <c:idx val="2"/>
              <c:layout>
                <c:manualLayout>
                  <c:x val="-0.10661445550406078"/>
                  <c:y val="-0.16086926023691045"/>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868205956157451E-2"/>
                      <c:h val="0.12866500291117206"/>
                    </c:manualLayout>
                  </c15:layout>
                </c:ext>
                <c:ext xmlns:c16="http://schemas.microsoft.com/office/drawing/2014/chart" uri="{C3380CC4-5D6E-409C-BE32-E72D297353CC}">
                  <c16:uniqueId val="{00000002-A349-4E94-8249-5881A5EEE01B}"/>
                </c:ext>
              </c:extLst>
            </c:dLbl>
            <c:dLbl>
              <c:idx val="3"/>
              <c:layout>
                <c:manualLayout>
                  <c:x val="-3.1233617611345064E-3"/>
                  <c:y val="0.15922630835379684"/>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137511898987077E-2"/>
                      <c:h val="0.20657186087504792"/>
                    </c:manualLayout>
                  </c15:layout>
                </c:ext>
                <c:ext xmlns:c16="http://schemas.microsoft.com/office/drawing/2014/chart" uri="{C3380CC4-5D6E-409C-BE32-E72D297353CC}">
                  <c16:uniqueId val="{00000003-A349-4E94-8249-5881A5EEE01B}"/>
                </c:ext>
              </c:extLst>
            </c:dLbl>
            <c:dLbl>
              <c:idx val="4"/>
              <c:layout>
                <c:manualLayout>
                  <c:x val="-0.10136219311807203"/>
                  <c:y val="-0.16256248751449923"/>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5773396525504045E-2"/>
                      <c:h val="0.12527774821709048"/>
                    </c:manualLayout>
                  </c15:layout>
                </c:ext>
                <c:ext xmlns:c16="http://schemas.microsoft.com/office/drawing/2014/chart" uri="{C3380CC4-5D6E-409C-BE32-E72D297353CC}">
                  <c16:uniqueId val="{00000004-A349-4E94-8249-5881A5EEE01B}"/>
                </c:ext>
              </c:extLst>
            </c:dLbl>
            <c:dLbl>
              <c:idx val="5"/>
              <c:layout>
                <c:manualLayout>
                  <c:x val="3.0141141300275096E-2"/>
                  <c:y val="0.15075830497507703"/>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469928420524197E-2"/>
                      <c:h val="0.14221402168749828"/>
                    </c:manualLayout>
                  </c15:layout>
                </c:ext>
                <c:ext xmlns:c16="http://schemas.microsoft.com/office/drawing/2014/chart" uri="{C3380CC4-5D6E-409C-BE32-E72D297353CC}">
                  <c16:uniqueId val="{00000005-A349-4E94-8249-5881A5EEE01B}"/>
                </c:ext>
              </c:extLst>
            </c:dLbl>
            <c:dLbl>
              <c:idx val="6"/>
              <c:layout>
                <c:manualLayout>
                  <c:x val="-0.11886979873721164"/>
                  <c:y val="-2.8766327167729651E-2"/>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456851128376607E-2"/>
                      <c:h val="0.12866500291117206"/>
                    </c:manualLayout>
                  </c15:layout>
                </c:ext>
                <c:ext xmlns:c16="http://schemas.microsoft.com/office/drawing/2014/chart" uri="{C3380CC4-5D6E-409C-BE32-E72D297353CC}">
                  <c16:uniqueId val="{00000006-A349-4E94-8249-5881A5EEE01B}"/>
                </c:ext>
              </c:extLst>
            </c:dLbl>
            <c:dLbl>
              <c:idx val="7"/>
              <c:layout>
                <c:manualLayout>
                  <c:x val="1.5826900403954763E-3"/>
                  <c:y val="0.14567728957747064"/>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4764236697245361E-2"/>
                      <c:h val="0.15237578576974295"/>
                    </c:manualLayout>
                  </c15:layout>
                </c:ext>
                <c:ext xmlns:c16="http://schemas.microsoft.com/office/drawing/2014/chart" uri="{C3380CC4-5D6E-409C-BE32-E72D297353CC}">
                  <c16:uniqueId val="{00000007-A349-4E94-8249-5881A5EEE01B}"/>
                </c:ext>
              </c:extLst>
            </c:dLbl>
            <c:dLbl>
              <c:idx val="8"/>
              <c:layout>
                <c:manualLayout>
                  <c:x val="-5.8293415470141711E-2"/>
                  <c:y val="-0.11852817649143892"/>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6669427266591955E-2"/>
                      <c:h val="0.11172872944076423"/>
                    </c:manualLayout>
                  </c15:layout>
                </c:ext>
                <c:ext xmlns:c16="http://schemas.microsoft.com/office/drawing/2014/chart" uri="{C3380CC4-5D6E-409C-BE32-E72D297353CC}">
                  <c16:uniqueId val="{00000008-A349-4E94-8249-5881A5EEE01B}"/>
                </c:ext>
              </c:extLst>
            </c:dLbl>
            <c:dLbl>
              <c:idx val="9"/>
              <c:layout>
                <c:manualLayout>
                  <c:x val="-1.6807327862617544E-4"/>
                  <c:y val="0.17616258182420469"/>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663320714419504E-2"/>
                      <c:h val="0.12527774821709048"/>
                    </c:manualLayout>
                  </c15:layout>
                </c:ext>
                <c:ext xmlns:c16="http://schemas.microsoft.com/office/drawing/2014/chart" uri="{C3380CC4-5D6E-409C-BE32-E72D297353CC}">
                  <c16:uniqueId val="{00000009-A349-4E94-8249-5881A5EEE01B}"/>
                </c:ext>
              </c:extLst>
            </c:dLbl>
            <c:dLbl>
              <c:idx val="10"/>
              <c:layout>
                <c:manualLayout>
                  <c:x val="-6.9148148048075356E-2"/>
                  <c:y val="-0.11006043982568707"/>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3363626042028137E-2"/>
                      <c:h val="0.11511598413484581"/>
                    </c:manualLayout>
                  </c15:layout>
                </c:ext>
                <c:ext xmlns:c16="http://schemas.microsoft.com/office/drawing/2014/chart" uri="{C3380CC4-5D6E-409C-BE32-E72D297353CC}">
                  <c16:uniqueId val="{0000000A-A349-4E94-8249-5881A5EEE01B}"/>
                </c:ext>
              </c:extLst>
            </c:dLbl>
            <c:dLbl>
              <c:idx val="11"/>
              <c:layout>
                <c:manualLayout>
                  <c:x val="-1.4174179830798515E-2"/>
                  <c:y val="0.13382176479170116"/>
                </c:manualLayout>
              </c:layout>
              <c:numFmt formatCode="&quot;₹&quot;\ #,##0" sourceLinked="0"/>
              <c:spPr>
                <a:noFill/>
                <a:ln>
                  <a:noFill/>
                </a:ln>
                <a:effectLst/>
              </c:spPr>
              <c:txPr>
                <a:bodyPr rot="0" spcFirstLastPara="1" vertOverflow="ellipsis" vert="horz" wrap="square" lIns="38100" tIns="19050" rIns="38100" bIns="19050" anchor="ctr" anchorCtr="0">
                  <a:no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7060878093550531E-2"/>
                      <c:h val="0.10156696535851956"/>
                    </c:manualLayout>
                  </c15:layout>
                </c:ext>
                <c:ext xmlns:c16="http://schemas.microsoft.com/office/drawing/2014/chart" uri="{C3380CC4-5D6E-409C-BE32-E72D297353CC}">
                  <c16:uniqueId val="{0000000B-A349-4E94-8249-5881A5EEE01B}"/>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Tables'!$N$7:$N$19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Tables'!$O$7:$O$19</c:f>
              <c:numCache>
                <c:formatCode>General</c:formatCode>
                <c:ptCount val="12"/>
                <c:pt idx="0">
                  <c:v>13000656</c:v>
                </c:pt>
                <c:pt idx="1">
                  <c:v>7753146</c:v>
                </c:pt>
                <c:pt idx="2">
                  <c:v>11382462</c:v>
                </c:pt>
                <c:pt idx="3">
                  <c:v>9437178</c:v>
                </c:pt>
                <c:pt idx="4">
                  <c:v>10765269</c:v>
                </c:pt>
                <c:pt idx="5">
                  <c:v>9601079</c:v>
                </c:pt>
                <c:pt idx="6">
                  <c:v>15464763</c:v>
                </c:pt>
                <c:pt idx="7">
                  <c:v>11424485</c:v>
                </c:pt>
                <c:pt idx="8">
                  <c:v>12685984</c:v>
                </c:pt>
                <c:pt idx="9">
                  <c:v>11246894</c:v>
                </c:pt>
                <c:pt idx="10">
                  <c:v>11958448</c:v>
                </c:pt>
                <c:pt idx="11">
                  <c:v>12772180</c:v>
                </c:pt>
              </c:numCache>
            </c:numRef>
          </c:val>
          <c:smooth val="0"/>
          <c:extLst>
            <c:ext xmlns:c16="http://schemas.microsoft.com/office/drawing/2014/chart" uri="{C3380CC4-5D6E-409C-BE32-E72D297353CC}">
              <c16:uniqueId val="{00000000-5981-44DE-9B16-D88D07165A63}"/>
            </c:ext>
          </c:extLst>
        </c:ser>
        <c:ser>
          <c:idx val="1"/>
          <c:order val="1"/>
          <c:tx>
            <c:strRef>
              <c:f>'Pivot Tables'!$P$5:$P$6</c:f>
              <c:strCache>
                <c:ptCount val="1"/>
                <c:pt idx="0">
                  <c:v>2024</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0-70BD-4208-BE64-24D3AAAB3640}"/>
              </c:ext>
            </c:extLst>
          </c:dPt>
          <c:dLbls>
            <c:dLbl>
              <c:idx val="0"/>
              <c:layout>
                <c:manualLayout>
                  <c:x val="-2.2952724942616545E-2"/>
                  <c:y val="-0.132799507706555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BD-4208-BE64-24D3AAAB3640}"/>
                </c:ext>
              </c:extLst>
            </c:dLbl>
            <c:spPr>
              <a:noFill/>
              <a:ln>
                <a:noFill/>
              </a:ln>
              <a:effectLst/>
            </c:spPr>
            <c:txPr>
              <a:bodyPr rot="0" spcFirstLastPara="1" vertOverflow="ellipsis" vert="horz" wrap="square" lIns="38100" tIns="19050" rIns="38100" bIns="19050" anchor="ctr" anchorCtr="0">
                <a:spAutoFit/>
              </a:bodyPr>
              <a:lstStyle/>
              <a:p>
                <a:pPr algn="ctr" rtl="0">
                  <a:defRPr lang="en-US" sz="1200" b="1" i="1" u="none" strike="noStrike" kern="1200" baseline="0">
                    <a:solidFill>
                      <a:sysClr val="windowText" lastClr="000000">
                        <a:lumMod val="75000"/>
                        <a:lumOff val="25000"/>
                      </a:sys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Tables'!$N$7:$N$19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Tables'!$P$7:$P$19</c:f>
              <c:numCache>
                <c:formatCode>General</c:formatCode>
                <c:ptCount val="12"/>
                <c:pt idx="0">
                  <c:v>306946</c:v>
                </c:pt>
              </c:numCache>
            </c:numRef>
          </c:val>
          <c:smooth val="0"/>
          <c:extLst>
            <c:ext xmlns:c16="http://schemas.microsoft.com/office/drawing/2014/chart" uri="{C3380CC4-5D6E-409C-BE32-E72D297353CC}">
              <c16:uniqueId val="{00000000-7C53-4F5A-911F-73EE90558E0A}"/>
            </c:ext>
          </c:extLst>
        </c:ser>
        <c:dLbls>
          <c:dLblPos val="t"/>
          <c:showLegendKey val="0"/>
          <c:showVal val="1"/>
          <c:showCatName val="0"/>
          <c:showSerName val="0"/>
          <c:showPercent val="0"/>
          <c:showBubbleSize val="0"/>
        </c:dLbls>
        <c:smooth val="0"/>
        <c:axId val="1614643887"/>
        <c:axId val="1614639087"/>
      </c:lineChart>
      <c:catAx>
        <c:axId val="16146438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4639087"/>
        <c:crosses val="autoZero"/>
        <c:auto val="1"/>
        <c:lblAlgn val="ctr"/>
        <c:lblOffset val="100"/>
        <c:noMultiLvlLbl val="0"/>
      </c:catAx>
      <c:valAx>
        <c:axId val="161463908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4643887"/>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397177</xdr:colOff>
      <xdr:row>4</xdr:row>
      <xdr:rowOff>179993</xdr:rowOff>
    </xdr:from>
    <xdr:to>
      <xdr:col>16</xdr:col>
      <xdr:colOff>171300</xdr:colOff>
      <xdr:row>9</xdr:row>
      <xdr:rowOff>132388</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18D14C8D-76D0-4A89-83EB-23F202130B4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01377" y="941993"/>
              <a:ext cx="1602923" cy="904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372683</xdr:colOff>
      <xdr:row>4</xdr:row>
      <xdr:rowOff>179993</xdr:rowOff>
    </xdr:from>
    <xdr:to>
      <xdr:col>19</xdr:col>
      <xdr:colOff>147258</xdr:colOff>
      <xdr:row>9</xdr:row>
      <xdr:rowOff>133917</xdr:rowOff>
    </xdr:to>
    <mc:AlternateContent xmlns:mc="http://schemas.openxmlformats.org/markup-compatibility/2006" xmlns:a14="http://schemas.microsoft.com/office/drawing/2010/main">
      <mc:Choice Requires="a14">
        <xdr:graphicFrame macro="">
          <xdr:nvGraphicFramePr>
            <xdr:cNvPr id="3" name="Product 2">
              <a:extLst>
                <a:ext uri="{FF2B5EF4-FFF2-40B4-BE49-F238E27FC236}">
                  <a16:creationId xmlns:a16="http://schemas.microsoft.com/office/drawing/2014/main" id="{0FAD0F06-5F40-43AD-901E-59F090F7DFC9}"/>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0405683" y="941993"/>
              <a:ext cx="1603375" cy="906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348641</xdr:colOff>
      <xdr:row>4</xdr:row>
      <xdr:rowOff>179993</xdr:rowOff>
    </xdr:from>
    <xdr:to>
      <xdr:col>22</xdr:col>
      <xdr:colOff>122764</xdr:colOff>
      <xdr:row>9</xdr:row>
      <xdr:rowOff>133917</xdr:rowOff>
    </xdr:to>
    <mc:AlternateContent xmlns:mc="http://schemas.openxmlformats.org/markup-compatibility/2006" xmlns:a14="http://schemas.microsoft.com/office/drawing/2010/main">
      <mc:Choice Requires="a14">
        <xdr:graphicFrame macro="">
          <xdr:nvGraphicFramePr>
            <xdr:cNvPr id="4" name="Months (Date) 1">
              <a:extLst>
                <a:ext uri="{FF2B5EF4-FFF2-40B4-BE49-F238E27FC236}">
                  <a16:creationId xmlns:a16="http://schemas.microsoft.com/office/drawing/2014/main" id="{8ACFCF68-54E5-4F29-B06B-CBA0708BE4B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210441" y="941993"/>
              <a:ext cx="1602923" cy="906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524119</xdr:colOff>
      <xdr:row>4</xdr:row>
      <xdr:rowOff>179993</xdr:rowOff>
    </xdr:from>
    <xdr:to>
      <xdr:col>3</xdr:col>
      <xdr:colOff>242277</xdr:colOff>
      <xdr:row>8</xdr:row>
      <xdr:rowOff>140428</xdr:rowOff>
    </xdr:to>
    <xdr:sp macro="" textlink="$B$6">
      <xdr:nvSpPr>
        <xdr:cNvPr id="5" name="Rectangle 4">
          <a:extLst>
            <a:ext uri="{FF2B5EF4-FFF2-40B4-BE49-F238E27FC236}">
              <a16:creationId xmlns:a16="http://schemas.microsoft.com/office/drawing/2014/main" id="{C9A9FD94-19A2-5481-5690-7EEDD4098017}"/>
            </a:ext>
          </a:extLst>
        </xdr:cNvPr>
        <xdr:cNvSpPr/>
      </xdr:nvSpPr>
      <xdr:spPr>
        <a:xfrm>
          <a:off x="524119" y="922455"/>
          <a:ext cx="1808773" cy="702896"/>
        </a:xfrm>
        <a:prstGeom prst="rect">
          <a:avLst/>
        </a:prstGeom>
        <a:solidFill>
          <a:schemeClr val="bg1">
            <a:lumMod val="95000"/>
          </a:schemeClr>
        </a:solidFill>
        <a:ln>
          <a:noFill/>
        </a:ln>
        <a:effectLst>
          <a:outerShdw blurRad="190500" dist="50800" dir="5400000" algn="ctr" rotWithShape="0">
            <a:srgbClr val="000000">
              <a:alpha val="0"/>
            </a:srgbClr>
          </a:outerShdw>
          <a:reflection stA="50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u="none" strike="noStrike">
              <a:solidFill>
                <a:schemeClr val="tx1">
                  <a:lumMod val="65000"/>
                  <a:lumOff val="35000"/>
                </a:schemeClr>
              </a:solidFill>
              <a:latin typeface="Calibri"/>
              <a:ea typeface="Calibri"/>
              <a:cs typeface="Calibri"/>
            </a:rPr>
            <a:t>Total Revenue</a:t>
          </a:r>
        </a:p>
        <a:p>
          <a:pPr marL="0" indent="0" algn="ctr"/>
          <a:endParaRPr lang="en-US" sz="1100" b="0" i="0" u="none" strike="noStrike">
            <a:solidFill>
              <a:schemeClr val="bg2">
                <a:lumMod val="50000"/>
              </a:schemeClr>
            </a:solidFill>
            <a:latin typeface="Calibri"/>
            <a:ea typeface="Calibri"/>
            <a:cs typeface="Calibri"/>
          </a:endParaRPr>
        </a:p>
        <a:p>
          <a:pPr marL="0" indent="0" algn="ctr"/>
          <a:fld id="{EA77BE37-DF9D-473B-8995-C8DAE484F903}" type="TxLink">
            <a:rPr lang="en-US" sz="1600" b="1" i="0" u="none" strike="noStrike">
              <a:solidFill>
                <a:schemeClr val="tx1"/>
              </a:solidFill>
              <a:latin typeface="Calibri"/>
              <a:ea typeface="Calibri"/>
              <a:cs typeface="Calibri"/>
            </a:rPr>
            <a:pPr marL="0" indent="0" algn="ctr"/>
            <a:t>₹ 13,77,99,490</a:t>
          </a:fld>
          <a:endParaRPr lang="en-IN" sz="1600" b="1" i="0" u="none" strike="noStrike">
            <a:solidFill>
              <a:schemeClr val="tx1"/>
            </a:solidFill>
            <a:latin typeface="Calibri"/>
            <a:ea typeface="Calibri"/>
            <a:cs typeface="Calibri"/>
          </a:endParaRPr>
        </a:p>
      </xdr:txBody>
    </xdr:sp>
    <xdr:clientData/>
  </xdr:twoCellAnchor>
  <xdr:twoCellAnchor>
    <xdr:from>
      <xdr:col>3</xdr:col>
      <xdr:colOff>443660</xdr:colOff>
      <xdr:row>4</xdr:row>
      <xdr:rowOff>179993</xdr:rowOff>
    </xdr:from>
    <xdr:to>
      <xdr:col>6</xdr:col>
      <xdr:colOff>430959</xdr:colOff>
      <xdr:row>8</xdr:row>
      <xdr:rowOff>140428</xdr:rowOff>
    </xdr:to>
    <xdr:sp macro="" textlink="$E$6">
      <xdr:nvSpPr>
        <xdr:cNvPr id="6" name="Rectangle 5">
          <a:extLst>
            <a:ext uri="{FF2B5EF4-FFF2-40B4-BE49-F238E27FC236}">
              <a16:creationId xmlns:a16="http://schemas.microsoft.com/office/drawing/2014/main" id="{23BD0C04-7EC5-4B7B-A2E2-D45FD5059895}"/>
            </a:ext>
          </a:extLst>
        </xdr:cNvPr>
        <xdr:cNvSpPr/>
      </xdr:nvSpPr>
      <xdr:spPr>
        <a:xfrm>
          <a:off x="2540168" y="905707"/>
          <a:ext cx="1801585" cy="686150"/>
        </a:xfrm>
        <a:prstGeom prst="rect">
          <a:avLst/>
        </a:prstGeom>
        <a:solidFill>
          <a:schemeClr val="bg1">
            <a:lumMod val="95000"/>
          </a:schemeClr>
        </a:solidFill>
        <a:ln>
          <a:noFill/>
        </a:ln>
        <a:effectLst>
          <a:outerShdw blurRad="190500" dist="50800" dir="5400000" algn="ctr" rotWithShape="0">
            <a:srgbClr val="000000">
              <a:alpha val="0"/>
            </a:srgbClr>
          </a:outerShdw>
          <a:reflection stA="50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i="0" u="none" strike="noStrike">
              <a:solidFill>
                <a:schemeClr val="tx1">
                  <a:lumMod val="75000"/>
                  <a:lumOff val="25000"/>
                </a:schemeClr>
              </a:solidFill>
              <a:latin typeface="Calibri"/>
              <a:ea typeface="Calibri"/>
              <a:cs typeface="Calibri"/>
            </a:rPr>
            <a:t>Product's</a:t>
          </a:r>
          <a:r>
            <a:rPr lang="en-US" sz="1000" b="1" i="0" u="none" strike="noStrike" baseline="0">
              <a:solidFill>
                <a:schemeClr val="tx1">
                  <a:lumMod val="75000"/>
                  <a:lumOff val="25000"/>
                </a:schemeClr>
              </a:solidFill>
              <a:latin typeface="Calibri"/>
              <a:ea typeface="Calibri"/>
              <a:cs typeface="Calibri"/>
            </a:rPr>
            <a:t> Sold</a:t>
          </a:r>
          <a:endParaRPr lang="en-US" sz="1000" b="1" i="0" u="none" strike="noStrike">
            <a:solidFill>
              <a:schemeClr val="tx1">
                <a:lumMod val="75000"/>
                <a:lumOff val="25000"/>
              </a:schemeClr>
            </a:solidFill>
            <a:latin typeface="Calibri"/>
            <a:ea typeface="Calibri"/>
            <a:cs typeface="Calibri"/>
          </a:endParaRPr>
        </a:p>
        <a:p>
          <a:pPr algn="ctr"/>
          <a:endParaRPr lang="en-US" sz="1100" b="0" i="0" u="none" strike="noStrike">
            <a:solidFill>
              <a:schemeClr val="bg2">
                <a:lumMod val="50000"/>
              </a:schemeClr>
            </a:solidFill>
            <a:latin typeface="Calibri"/>
            <a:ea typeface="Calibri"/>
            <a:cs typeface="Calibri"/>
          </a:endParaRPr>
        </a:p>
        <a:p>
          <a:pPr algn="ctr"/>
          <a:fld id="{C2D57946-9F51-422F-A4A7-ED2CFDA8E0DC}" type="TxLink">
            <a:rPr lang="en-US" sz="1600" b="1" i="0" u="none" strike="noStrike">
              <a:solidFill>
                <a:srgbClr val="000000"/>
              </a:solidFill>
              <a:latin typeface="Calibri"/>
              <a:ea typeface="Calibri"/>
              <a:cs typeface="Calibri"/>
            </a:rPr>
            <a:pPr algn="ctr"/>
            <a:t>982</a:t>
          </a:fld>
          <a:endParaRPr lang="en-US" sz="1600" b="1" i="0" u="none" strike="noStrike">
            <a:solidFill>
              <a:srgbClr val="000000"/>
            </a:solidFill>
            <a:latin typeface="Calibri"/>
            <a:ea typeface="Calibri"/>
            <a:cs typeface="Calibri"/>
          </a:endParaRPr>
        </a:p>
      </xdr:txBody>
    </xdr:sp>
    <xdr:clientData/>
  </xdr:twoCellAnchor>
  <xdr:twoCellAnchor>
    <xdr:from>
      <xdr:col>7</xdr:col>
      <xdr:colOff>26649</xdr:colOff>
      <xdr:row>4</xdr:row>
      <xdr:rowOff>179993</xdr:rowOff>
    </xdr:from>
    <xdr:to>
      <xdr:col>10</xdr:col>
      <xdr:colOff>13948</xdr:colOff>
      <xdr:row>8</xdr:row>
      <xdr:rowOff>140428</xdr:rowOff>
    </xdr:to>
    <xdr:sp macro="" textlink="$J$6">
      <xdr:nvSpPr>
        <xdr:cNvPr id="7" name="Rectangle 6">
          <a:extLst>
            <a:ext uri="{FF2B5EF4-FFF2-40B4-BE49-F238E27FC236}">
              <a16:creationId xmlns:a16="http://schemas.microsoft.com/office/drawing/2014/main" id="{60D0F4C6-9A4D-4890-B407-2F69DEDFA547}"/>
            </a:ext>
          </a:extLst>
        </xdr:cNvPr>
        <xdr:cNvSpPr/>
      </xdr:nvSpPr>
      <xdr:spPr>
        <a:xfrm>
          <a:off x="4540034" y="922455"/>
          <a:ext cx="1804376" cy="702896"/>
        </a:xfrm>
        <a:prstGeom prst="rect">
          <a:avLst/>
        </a:prstGeom>
        <a:solidFill>
          <a:schemeClr val="bg1">
            <a:lumMod val="95000"/>
          </a:schemeClr>
        </a:solidFill>
        <a:ln>
          <a:noFill/>
        </a:ln>
        <a:effectLst>
          <a:outerShdw blurRad="190500" dist="50800" dir="5400000" algn="ctr" rotWithShape="0">
            <a:srgbClr val="000000">
              <a:alpha val="0"/>
            </a:srgbClr>
          </a:outerShdw>
          <a:reflection stA="50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u="none" strike="noStrike">
              <a:solidFill>
                <a:schemeClr val="tx1">
                  <a:lumMod val="65000"/>
                  <a:lumOff val="35000"/>
                </a:schemeClr>
              </a:solidFill>
              <a:latin typeface="Calibri"/>
              <a:ea typeface="Calibri"/>
              <a:cs typeface="Calibri"/>
            </a:rPr>
            <a:t>Highest</a:t>
          </a:r>
          <a:r>
            <a:rPr lang="en-US" sz="1000" b="1" i="0" u="none" strike="noStrike" baseline="0">
              <a:solidFill>
                <a:schemeClr val="tx1">
                  <a:lumMod val="65000"/>
                  <a:lumOff val="35000"/>
                </a:schemeClr>
              </a:solidFill>
              <a:latin typeface="Calibri"/>
              <a:ea typeface="Calibri"/>
              <a:cs typeface="Calibri"/>
            </a:rPr>
            <a:t> Sold Product</a:t>
          </a:r>
          <a:endParaRPr lang="en-US" sz="1000" b="1" i="0" u="none" strike="noStrike">
            <a:solidFill>
              <a:schemeClr val="tx1">
                <a:lumMod val="65000"/>
                <a:lumOff val="35000"/>
              </a:schemeClr>
            </a:solidFill>
            <a:latin typeface="Calibri"/>
            <a:ea typeface="Calibri"/>
            <a:cs typeface="Calibri"/>
          </a:endParaRPr>
        </a:p>
        <a:p>
          <a:pPr marL="0" indent="0" algn="ctr"/>
          <a:endParaRPr lang="en-US" sz="1100" b="0" i="0" u="none" strike="noStrike">
            <a:solidFill>
              <a:schemeClr val="bg2">
                <a:lumMod val="50000"/>
              </a:schemeClr>
            </a:solidFill>
            <a:latin typeface="Calibri"/>
            <a:ea typeface="Calibri"/>
            <a:cs typeface="Calibri"/>
          </a:endParaRPr>
        </a:p>
        <a:p>
          <a:pPr marL="0" indent="0" algn="ctr"/>
          <a:fld id="{7F76D0EB-A3FA-4A39-A4CC-01B00DA11C9D}" type="TxLink">
            <a:rPr lang="en-US" sz="1600" b="1" i="0" u="none" strike="noStrike">
              <a:solidFill>
                <a:schemeClr val="tx1"/>
              </a:solidFill>
              <a:latin typeface="Calibri"/>
              <a:ea typeface="Calibri"/>
              <a:cs typeface="Calibri"/>
            </a:rPr>
            <a:pPr marL="0" indent="0" algn="ctr"/>
            <a:t>Laptop</a:t>
          </a:fld>
          <a:endParaRPr lang="en-US" sz="1600" b="1" i="0" u="none" strike="noStrike">
            <a:solidFill>
              <a:schemeClr val="tx1"/>
            </a:solidFill>
            <a:latin typeface="Calibri"/>
            <a:ea typeface="Calibri"/>
            <a:cs typeface="Calibri"/>
          </a:endParaRPr>
        </a:p>
      </xdr:txBody>
    </xdr:sp>
    <xdr:clientData/>
  </xdr:twoCellAnchor>
  <xdr:twoCellAnchor>
    <xdr:from>
      <xdr:col>0</xdr:col>
      <xdr:colOff>12095</xdr:colOff>
      <xdr:row>15</xdr:row>
      <xdr:rowOff>157326</xdr:rowOff>
    </xdr:from>
    <xdr:to>
      <xdr:col>8</xdr:col>
      <xdr:colOff>293082</xdr:colOff>
      <xdr:row>34</xdr:row>
      <xdr:rowOff>35638</xdr:rowOff>
    </xdr:to>
    <xdr:graphicFrame macro="">
      <xdr:nvGraphicFramePr>
        <xdr:cNvPr id="8" name="Chart 7">
          <a:extLst>
            <a:ext uri="{FF2B5EF4-FFF2-40B4-BE49-F238E27FC236}">
              <a16:creationId xmlns:a16="http://schemas.microsoft.com/office/drawing/2014/main" id="{AF9F3CD0-9DE5-4C81-8B2A-27F2CEEB1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337713</xdr:colOff>
      <xdr:row>15</xdr:row>
      <xdr:rowOff>156598</xdr:rowOff>
    </xdr:from>
    <xdr:to>
      <xdr:col>18</xdr:col>
      <xdr:colOff>291367</xdr:colOff>
      <xdr:row>34</xdr:row>
      <xdr:rowOff>36366</xdr:rowOff>
    </xdr:to>
    <xdr:graphicFrame macro="">
      <xdr:nvGraphicFramePr>
        <xdr:cNvPr id="9" name="Chart 8">
          <a:extLst>
            <a:ext uri="{FF2B5EF4-FFF2-40B4-BE49-F238E27FC236}">
              <a16:creationId xmlns:a16="http://schemas.microsoft.com/office/drawing/2014/main" id="{87AEABEB-C6B4-4D1F-9FB8-C5626DFFD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335998</xdr:colOff>
      <xdr:row>15</xdr:row>
      <xdr:rowOff>155793</xdr:rowOff>
    </xdr:from>
    <xdr:to>
      <xdr:col>28</xdr:col>
      <xdr:colOff>281913</xdr:colOff>
      <xdr:row>34</xdr:row>
      <xdr:rowOff>37172</xdr:rowOff>
    </xdr:to>
    <xdr:graphicFrame macro="">
      <xdr:nvGraphicFramePr>
        <xdr:cNvPr id="10" name="Chart 9">
          <a:extLst>
            <a:ext uri="{FF2B5EF4-FFF2-40B4-BE49-F238E27FC236}">
              <a16:creationId xmlns:a16="http://schemas.microsoft.com/office/drawing/2014/main" id="{0A273A3F-5B90-4E3E-A5C3-EB102ABAD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69801</xdr:rowOff>
    </xdr:from>
    <xdr:to>
      <xdr:col>29</xdr:col>
      <xdr:colOff>276794</xdr:colOff>
      <xdr:row>61</xdr:row>
      <xdr:rowOff>15506</xdr:rowOff>
    </xdr:to>
    <xdr:graphicFrame macro="">
      <xdr:nvGraphicFramePr>
        <xdr:cNvPr id="11" name="Chart 10">
          <a:extLst>
            <a:ext uri="{FF2B5EF4-FFF2-40B4-BE49-F238E27FC236}">
              <a16:creationId xmlns:a16="http://schemas.microsoft.com/office/drawing/2014/main" id="{2D8448E5-D606-4511-BF49-6A3F1F5FB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215331</xdr:colOff>
      <xdr:row>4</xdr:row>
      <xdr:rowOff>179993</xdr:rowOff>
    </xdr:from>
    <xdr:to>
      <xdr:col>13</xdr:col>
      <xdr:colOff>195794</xdr:colOff>
      <xdr:row>9</xdr:row>
      <xdr:rowOff>4147</xdr:rowOff>
    </xdr:to>
    <xdr:sp macro="" textlink="$J$7">
      <xdr:nvSpPr>
        <xdr:cNvPr id="16" name="Rectangle 15">
          <a:extLst>
            <a:ext uri="{FF2B5EF4-FFF2-40B4-BE49-F238E27FC236}">
              <a16:creationId xmlns:a16="http://schemas.microsoft.com/office/drawing/2014/main" id="{4BFD75B5-340B-4879-ACB5-9FDC3DC859F7}"/>
            </a:ext>
          </a:extLst>
        </xdr:cNvPr>
        <xdr:cNvSpPr/>
      </xdr:nvSpPr>
      <xdr:spPr>
        <a:xfrm>
          <a:off x="6545793" y="922455"/>
          <a:ext cx="1797539" cy="752230"/>
        </a:xfrm>
        <a:prstGeom prst="rect">
          <a:avLst/>
        </a:prstGeom>
        <a:solidFill>
          <a:schemeClr val="bg1">
            <a:lumMod val="95000"/>
          </a:schemeClr>
        </a:solidFill>
        <a:ln>
          <a:noFill/>
        </a:ln>
        <a:effectLst>
          <a:outerShdw blurRad="190500" dist="50800" dir="5400000" algn="ctr" rotWithShape="0">
            <a:srgbClr val="000000">
              <a:alpha val="0"/>
            </a:srgbClr>
          </a:outerShdw>
          <a:reflection stA="50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00" b="1" i="0" u="none" strike="noStrike">
              <a:solidFill>
                <a:schemeClr val="tx1">
                  <a:lumMod val="65000"/>
                  <a:lumOff val="35000"/>
                </a:schemeClr>
              </a:solidFill>
              <a:latin typeface="Calibri"/>
              <a:ea typeface="Calibri"/>
              <a:cs typeface="Calibri"/>
            </a:rPr>
            <a:t>Highest</a:t>
          </a:r>
          <a:r>
            <a:rPr lang="en-US" sz="1000" b="1" i="0" u="none" strike="noStrike" baseline="0">
              <a:solidFill>
                <a:schemeClr val="tx1">
                  <a:lumMod val="65000"/>
                  <a:lumOff val="35000"/>
                </a:schemeClr>
              </a:solidFill>
              <a:latin typeface="Calibri"/>
              <a:ea typeface="Calibri"/>
              <a:cs typeface="Calibri"/>
            </a:rPr>
            <a:t> Sale's Region</a:t>
          </a:r>
          <a:endParaRPr lang="en-US" sz="1000" b="1" i="0" u="none" strike="noStrike">
            <a:solidFill>
              <a:schemeClr val="tx1">
                <a:lumMod val="65000"/>
                <a:lumOff val="35000"/>
              </a:schemeClr>
            </a:solidFill>
            <a:latin typeface="Calibri"/>
            <a:ea typeface="Calibri"/>
            <a:cs typeface="Calibri"/>
          </a:endParaRPr>
        </a:p>
        <a:p>
          <a:pPr marL="0" indent="0" algn="ctr"/>
          <a:endParaRPr lang="en-US" sz="1600" b="1" i="0" u="none" strike="noStrike">
            <a:solidFill>
              <a:schemeClr val="tx1"/>
            </a:solidFill>
            <a:latin typeface="Calibri"/>
            <a:ea typeface="Calibri"/>
            <a:cs typeface="Calibri"/>
          </a:endParaRPr>
        </a:p>
        <a:p>
          <a:pPr marL="0" indent="0" algn="ctr"/>
          <a:fld id="{FEED1569-0933-4552-AB66-436B9B7E174C}" type="TxLink">
            <a:rPr lang="en-US" sz="1600" b="1" i="0" u="none" strike="noStrike">
              <a:solidFill>
                <a:schemeClr val="tx1"/>
              </a:solidFill>
              <a:latin typeface="Calibri"/>
              <a:ea typeface="Calibri"/>
              <a:cs typeface="Calibri"/>
            </a:rPr>
            <a:pPr marL="0" indent="0" algn="ctr"/>
            <a:t>West</a:t>
          </a:fld>
          <a:endParaRPr lang="en-US" sz="1600" b="1" i="0" u="none" strike="noStrike">
            <a:solidFill>
              <a:schemeClr val="tx1"/>
            </a:solidFill>
            <a:latin typeface="Calibri"/>
            <a:ea typeface="Calibri"/>
            <a:cs typeface="Calibri"/>
          </a:endParaRPr>
        </a:p>
      </xdr:txBody>
    </xdr:sp>
    <xdr:clientData/>
  </xdr:twoCellAnchor>
  <xdr:twoCellAnchor>
    <xdr:from>
      <xdr:col>38</xdr:col>
      <xdr:colOff>408530</xdr:colOff>
      <xdr:row>23</xdr:row>
      <xdr:rowOff>26048</xdr:rowOff>
    </xdr:from>
    <xdr:to>
      <xdr:col>52</xdr:col>
      <xdr:colOff>44552</xdr:colOff>
      <xdr:row>56</xdr:row>
      <xdr:rowOff>157933</xdr:rowOff>
    </xdr:to>
    <xdr:grpSp>
      <xdr:nvGrpSpPr>
        <xdr:cNvPr id="12" name="Group 11">
          <a:extLst>
            <a:ext uri="{FF2B5EF4-FFF2-40B4-BE49-F238E27FC236}">
              <a16:creationId xmlns:a16="http://schemas.microsoft.com/office/drawing/2014/main" id="{9074043E-9CAB-74D2-3631-D8728673AB1B}"/>
            </a:ext>
          </a:extLst>
        </xdr:cNvPr>
        <xdr:cNvGrpSpPr/>
      </xdr:nvGrpSpPr>
      <xdr:grpSpPr>
        <a:xfrm>
          <a:off x="23926621" y="4274775"/>
          <a:ext cx="8422113" cy="6227885"/>
          <a:chOff x="15173242" y="2925882"/>
          <a:chExt cx="8447127" cy="6418385"/>
        </a:xfrm>
      </xdr:grpSpPr>
      <xdr:sp macro="" textlink="">
        <xdr:nvSpPr>
          <xdr:cNvPr id="19" name="Rectangle 18">
            <a:extLst>
              <a:ext uri="{FF2B5EF4-FFF2-40B4-BE49-F238E27FC236}">
                <a16:creationId xmlns:a16="http://schemas.microsoft.com/office/drawing/2014/main" id="{BF285352-3993-9E74-5417-D8C79B043212}"/>
              </a:ext>
            </a:extLst>
          </xdr:cNvPr>
          <xdr:cNvSpPr/>
        </xdr:nvSpPr>
        <xdr:spPr>
          <a:xfrm>
            <a:off x="15192779" y="2925882"/>
            <a:ext cx="8427590" cy="25741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sng" strike="noStrike">
                <a:solidFill>
                  <a:schemeClr val="bg2">
                    <a:lumMod val="25000"/>
                  </a:schemeClr>
                </a:solidFill>
                <a:effectLst/>
                <a:latin typeface="Bodoni MT Black" panose="02070A03080606020203" pitchFamily="18" charset="0"/>
                <a:ea typeface="+mn-ea"/>
                <a:cs typeface="+mn-cs"/>
              </a:rPr>
              <a:t>Insights</a:t>
            </a:r>
          </a:p>
          <a:p>
            <a:pPr algn="ctr"/>
            <a:endParaRPr lang="en-IN" sz="2400" b="1" i="0" u="sng" strike="noStrike">
              <a:solidFill>
                <a:schemeClr val="bg2">
                  <a:lumMod val="25000"/>
                </a:schemeClr>
              </a:solidFill>
              <a:effectLst/>
              <a:latin typeface="Bodoni MT Black" panose="02070A03080606020203" pitchFamily="18" charset="0"/>
              <a:ea typeface="+mn-ea"/>
              <a:cs typeface="+mn-cs"/>
            </a:endParaRPr>
          </a:p>
          <a:p>
            <a:pPr algn="l"/>
            <a:r>
              <a:rPr lang="en-IN" sz="2800" b="1" i="0" u="none" strike="noStrike">
                <a:solidFill>
                  <a:schemeClr val="bg2">
                    <a:lumMod val="25000"/>
                  </a:schemeClr>
                </a:solidFill>
                <a:effectLst/>
                <a:latin typeface="Bodoni MT Black" panose="02070A03080606020203" pitchFamily="18" charset="0"/>
                <a:ea typeface="+mn-ea"/>
                <a:cs typeface="+mn-cs"/>
              </a:rPr>
              <a:t>›</a:t>
            </a:r>
            <a:r>
              <a:rPr lang="en-IN" sz="2400" b="1" i="0" u="none" strike="noStrike" baseline="0">
                <a:solidFill>
                  <a:schemeClr val="bg2">
                    <a:lumMod val="25000"/>
                  </a:schemeClr>
                </a:solidFill>
                <a:effectLst/>
                <a:latin typeface="Bodoni MT Black" panose="02070A03080606020203" pitchFamily="18" charset="0"/>
                <a:ea typeface="+mn-ea"/>
                <a:cs typeface="+mn-cs"/>
              </a:rPr>
              <a:t> </a:t>
            </a:r>
            <a:r>
              <a:rPr lang="en-IN" sz="1800" b="0" i="0" u="none" strike="noStrike">
                <a:solidFill>
                  <a:schemeClr val="bg2">
                    <a:lumMod val="25000"/>
                  </a:schemeClr>
                </a:solidFill>
                <a:effectLst/>
                <a:latin typeface="+mn-lt"/>
                <a:ea typeface="+mn-ea"/>
                <a:cs typeface="+mn-cs"/>
              </a:rPr>
              <a:t>Region West has</a:t>
            </a:r>
            <a:r>
              <a:rPr lang="en-IN" sz="1800" b="0" i="0" u="none" strike="noStrike" baseline="0">
                <a:solidFill>
                  <a:schemeClr val="bg2">
                    <a:lumMod val="25000"/>
                  </a:schemeClr>
                </a:solidFill>
                <a:effectLst/>
                <a:latin typeface="+mn-lt"/>
                <a:ea typeface="+mn-ea"/>
                <a:cs typeface="+mn-cs"/>
              </a:rPr>
              <a:t> Highest Sales with ₹ 3,50,75,942.</a:t>
            </a:r>
          </a:p>
          <a:p>
            <a:pPr algn="l"/>
            <a:r>
              <a:rPr lang="en-IN" sz="2800" b="1" i="0">
                <a:solidFill>
                  <a:schemeClr val="bg2">
                    <a:lumMod val="25000"/>
                  </a:schemeClr>
                </a:solidFill>
                <a:effectLst/>
                <a:latin typeface="Bodoni MT Black" panose="02070A03080606020203" pitchFamily="18" charset="0"/>
                <a:ea typeface="+mn-ea"/>
                <a:cs typeface="+mn-cs"/>
              </a:rPr>
              <a:t>›</a:t>
            </a:r>
            <a:r>
              <a:rPr lang="en-IN" sz="1100" b="1" i="0">
                <a:solidFill>
                  <a:schemeClr val="lt1"/>
                </a:solidFill>
                <a:effectLst/>
                <a:latin typeface="+mn-lt"/>
                <a:ea typeface="+mn-ea"/>
                <a:cs typeface="+mn-cs"/>
              </a:rPr>
              <a:t>  </a:t>
            </a:r>
            <a:r>
              <a:rPr lang="en-IN" sz="1800" b="0" i="0" u="none" strike="noStrike" baseline="0">
                <a:solidFill>
                  <a:schemeClr val="bg2">
                    <a:lumMod val="25000"/>
                  </a:schemeClr>
                </a:solidFill>
                <a:effectLst/>
                <a:latin typeface="+mn-lt"/>
                <a:ea typeface="+mn-ea"/>
                <a:cs typeface="+mn-cs"/>
              </a:rPr>
              <a:t>Product Laptop has Highest Sales with ₹ 3,01,79,810.</a:t>
            </a:r>
          </a:p>
          <a:p>
            <a:pPr algn="l"/>
            <a:r>
              <a:rPr lang="en-IN" sz="2800" b="1" i="0" u="none" strike="noStrike" baseline="0">
                <a:solidFill>
                  <a:schemeClr val="bg2">
                    <a:lumMod val="25000"/>
                  </a:schemeClr>
                </a:solidFill>
                <a:effectLst/>
                <a:latin typeface="Bodoni MT Black" panose="02070A03080606020203" pitchFamily="18" charset="0"/>
                <a:ea typeface="+mn-ea"/>
                <a:cs typeface="+mn-cs"/>
              </a:rPr>
              <a:t>› </a:t>
            </a:r>
            <a:r>
              <a:rPr lang="en-IN" sz="1800" b="0" i="0" u="none" strike="noStrike" baseline="0">
                <a:solidFill>
                  <a:schemeClr val="bg2">
                    <a:lumMod val="25000"/>
                  </a:schemeClr>
                </a:solidFill>
                <a:effectLst/>
                <a:latin typeface="+mn-lt"/>
                <a:ea typeface="+mn-ea"/>
                <a:cs typeface="+mn-cs"/>
              </a:rPr>
              <a:t>In 2023, month July Has Highest Sales with ₹  1,54,64,763.</a:t>
            </a:r>
          </a:p>
          <a:p>
            <a:pPr algn="l"/>
            <a:r>
              <a:rPr lang="en-IN" sz="2800" b="1" i="0" baseline="0">
                <a:solidFill>
                  <a:schemeClr val="bg2">
                    <a:lumMod val="25000"/>
                  </a:schemeClr>
                </a:solidFill>
                <a:effectLst/>
                <a:latin typeface="Bodoni MT Black" panose="02070A03080606020203" pitchFamily="18" charset="0"/>
                <a:ea typeface="+mn-ea"/>
                <a:cs typeface="+mn-cs"/>
              </a:rPr>
              <a:t>› </a:t>
            </a:r>
            <a:r>
              <a:rPr lang="en-IN" sz="1800" b="0" i="0" u="none" baseline="0">
                <a:solidFill>
                  <a:schemeClr val="bg2">
                    <a:lumMod val="25000"/>
                  </a:schemeClr>
                </a:solidFill>
                <a:effectLst/>
                <a:latin typeface="+mn-lt"/>
                <a:ea typeface="+mn-ea"/>
                <a:cs typeface="+mn-cs"/>
              </a:rPr>
              <a:t>In 2024, month January has Low Sales with ₹ 3,06,946.</a:t>
            </a:r>
            <a:endParaRPr lang="en-IN" sz="1800" b="1" i="0" u="sng">
              <a:solidFill>
                <a:schemeClr val="bg2">
                  <a:lumMod val="25000"/>
                </a:schemeClr>
              </a:solidFill>
              <a:effectLst/>
              <a:latin typeface="+mn-lt"/>
              <a:ea typeface="+mn-ea"/>
              <a:cs typeface="+mn-cs"/>
            </a:endParaRPr>
          </a:p>
          <a:p>
            <a:pPr algn="l"/>
            <a:endParaRPr lang="en-IN" sz="1800" b="1" i="0" u="none" strike="noStrike" baseline="0">
              <a:solidFill>
                <a:schemeClr val="bg2">
                  <a:lumMod val="25000"/>
                </a:schemeClr>
              </a:solidFill>
              <a:effectLst/>
              <a:latin typeface="Bodoni MT Black" panose="02070A03080606020203" pitchFamily="18" charset="0"/>
              <a:ea typeface="+mn-ea"/>
              <a:cs typeface="+mn-cs"/>
            </a:endParaRPr>
          </a:p>
          <a:p>
            <a:pPr algn="ctr"/>
            <a:endParaRPr lang="en-IN" sz="1800" b="1" i="0" u="none" strike="noStrike">
              <a:solidFill>
                <a:schemeClr val="bg2">
                  <a:lumMod val="25000"/>
                </a:schemeClr>
              </a:solidFill>
              <a:effectLst/>
              <a:latin typeface="Bodoni MT Black" panose="02070A03080606020203" pitchFamily="18" charset="0"/>
              <a:ea typeface="+mn-ea"/>
              <a:cs typeface="+mn-cs"/>
            </a:endParaRPr>
          </a:p>
          <a:p>
            <a:pPr algn="ctr"/>
            <a:endParaRPr lang="en-IN" sz="2000" b="1" i="0" u="none" strike="noStrike">
              <a:solidFill>
                <a:schemeClr val="lt1"/>
              </a:solidFill>
              <a:effectLst/>
              <a:latin typeface="Bodoni MT Black" panose="02070A03080606020203" pitchFamily="18" charset="0"/>
              <a:ea typeface="+mn-ea"/>
              <a:cs typeface="+mn-cs"/>
            </a:endParaRPr>
          </a:p>
          <a:p>
            <a:pPr algn="ctr"/>
            <a:endParaRPr lang="en-IN" sz="2000">
              <a:latin typeface="Bodoni MT Black" panose="02070A03080606020203" pitchFamily="18" charset="0"/>
            </a:endParaRPr>
          </a:p>
        </xdr:txBody>
      </xdr:sp>
      <xdr:sp macro="" textlink="">
        <xdr:nvSpPr>
          <xdr:cNvPr id="21" name="Rectangle 20">
            <a:extLst>
              <a:ext uri="{FF2B5EF4-FFF2-40B4-BE49-F238E27FC236}">
                <a16:creationId xmlns:a16="http://schemas.microsoft.com/office/drawing/2014/main" id="{84BA8E25-EA0D-4C21-91B2-9EB231D9B08F}"/>
              </a:ext>
            </a:extLst>
          </xdr:cNvPr>
          <xdr:cNvSpPr/>
        </xdr:nvSpPr>
        <xdr:spPr>
          <a:xfrm>
            <a:off x="15173242" y="6413499"/>
            <a:ext cx="8447127" cy="29307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sng" strike="noStrike" baseline="0">
                <a:solidFill>
                  <a:schemeClr val="bg2">
                    <a:lumMod val="25000"/>
                  </a:schemeClr>
                </a:solidFill>
                <a:effectLst/>
                <a:latin typeface="Bodoni MT Black" panose="02070A03080606020203" pitchFamily="18" charset="0"/>
                <a:ea typeface="+mn-ea"/>
                <a:cs typeface="+mn-cs"/>
              </a:rPr>
              <a:t>Recommendations</a:t>
            </a:r>
          </a:p>
          <a:p>
            <a:pPr algn="ctr"/>
            <a:endParaRPr lang="en-IN" sz="2400" b="1" i="0" u="sng" strike="noStrike" baseline="0">
              <a:solidFill>
                <a:schemeClr val="bg2">
                  <a:lumMod val="25000"/>
                </a:schemeClr>
              </a:solidFill>
              <a:effectLst/>
              <a:latin typeface="Bodoni MT Black" panose="02070A03080606020203" pitchFamily="18" charset="0"/>
              <a:ea typeface="+mn-ea"/>
              <a:cs typeface="+mn-cs"/>
            </a:endParaRPr>
          </a:p>
          <a:p>
            <a:pPr algn="l"/>
            <a:r>
              <a:rPr lang="en-IN" sz="2800" b="1" i="0">
                <a:solidFill>
                  <a:schemeClr val="bg2">
                    <a:lumMod val="25000"/>
                  </a:schemeClr>
                </a:solidFill>
                <a:effectLst/>
                <a:latin typeface="Bodoni MT Black" panose="02070A03080606020203" pitchFamily="18" charset="0"/>
                <a:ea typeface="+mn-ea"/>
                <a:cs typeface="+mn-cs"/>
              </a:rPr>
              <a:t>›</a:t>
            </a:r>
            <a:r>
              <a:rPr lang="en-IN" sz="2800" b="1" i="0" baseline="0">
                <a:solidFill>
                  <a:schemeClr val="bg2">
                    <a:lumMod val="25000"/>
                  </a:schemeClr>
                </a:solidFill>
                <a:effectLst/>
                <a:latin typeface="Bodoni MT Black" panose="02070A03080606020203" pitchFamily="18" charset="0"/>
                <a:ea typeface="+mn-ea"/>
                <a:cs typeface="+mn-cs"/>
              </a:rPr>
              <a:t> </a:t>
            </a:r>
            <a:r>
              <a:rPr lang="en-IN" sz="1800" b="0" i="0">
                <a:solidFill>
                  <a:schemeClr val="bg2">
                    <a:lumMod val="25000"/>
                  </a:schemeClr>
                </a:solidFill>
                <a:effectLst/>
                <a:latin typeface="+mn-lt"/>
                <a:ea typeface="+mn-ea"/>
                <a:cs typeface="+mn-cs"/>
              </a:rPr>
              <a:t>Need</a:t>
            </a:r>
            <a:r>
              <a:rPr lang="en-IN" sz="1800" b="0" i="0" baseline="0">
                <a:solidFill>
                  <a:schemeClr val="bg2">
                    <a:lumMod val="25000"/>
                  </a:schemeClr>
                </a:solidFill>
                <a:effectLst/>
                <a:latin typeface="+mn-lt"/>
                <a:ea typeface="+mn-ea"/>
                <a:cs typeface="+mn-cs"/>
              </a:rPr>
              <a:t> to check the Cause of july month sales reasons and bring it into                  </a:t>
            </a:r>
          </a:p>
          <a:p>
            <a:pPr algn="l"/>
            <a:r>
              <a:rPr lang="en-IN" sz="1800" b="0" i="0" baseline="0">
                <a:solidFill>
                  <a:schemeClr val="bg2">
                    <a:lumMod val="25000"/>
                  </a:schemeClr>
                </a:solidFill>
                <a:effectLst/>
                <a:latin typeface="+mn-lt"/>
                <a:ea typeface="+mn-ea"/>
                <a:cs typeface="+mn-cs"/>
              </a:rPr>
              <a:t>      action for every month for boosting sales.</a:t>
            </a:r>
            <a:endParaRPr lang="en-IN" sz="1800" b="0" i="0" u="sng" strike="noStrike" baseline="0">
              <a:solidFill>
                <a:schemeClr val="bg2">
                  <a:lumMod val="25000"/>
                </a:schemeClr>
              </a:solidFill>
              <a:effectLst/>
              <a:latin typeface="+mn-lt"/>
              <a:ea typeface="+mn-ea"/>
              <a:cs typeface="+mn-cs"/>
            </a:endParaRPr>
          </a:p>
          <a:p>
            <a:pPr algn="l"/>
            <a:r>
              <a:rPr lang="en-IN" sz="2800" b="1" i="0">
                <a:solidFill>
                  <a:schemeClr val="bg2">
                    <a:lumMod val="25000"/>
                  </a:schemeClr>
                </a:solidFill>
                <a:effectLst/>
                <a:latin typeface="Bodoni MT Black" panose="02070A03080606020203" pitchFamily="18" charset="0"/>
                <a:ea typeface="+mn-ea"/>
                <a:cs typeface="+mn-cs"/>
              </a:rPr>
              <a:t>› </a:t>
            </a:r>
            <a:r>
              <a:rPr lang="en-IN" sz="1800" b="0" i="0">
                <a:solidFill>
                  <a:schemeClr val="bg2">
                    <a:lumMod val="25000"/>
                  </a:schemeClr>
                </a:solidFill>
                <a:effectLst/>
                <a:latin typeface="+mn-lt"/>
                <a:ea typeface="+mn-ea"/>
                <a:cs typeface="+mn-cs"/>
              </a:rPr>
              <a:t>Need</a:t>
            </a:r>
            <a:r>
              <a:rPr lang="en-IN" sz="1800" b="0" i="0" baseline="0">
                <a:solidFill>
                  <a:schemeClr val="bg2">
                    <a:lumMod val="25000"/>
                  </a:schemeClr>
                </a:solidFill>
                <a:effectLst/>
                <a:latin typeface="+mn-lt"/>
                <a:ea typeface="+mn-ea"/>
                <a:cs typeface="+mn-cs"/>
              </a:rPr>
              <a:t> to attract Customers by allowing more Festival offers, Dicounts, Gifts.</a:t>
            </a:r>
            <a:endParaRPr lang="en-IN" sz="1800" b="0" i="0" u="sng" strike="noStrike" baseline="0">
              <a:solidFill>
                <a:schemeClr val="bg2">
                  <a:lumMod val="25000"/>
                </a:schemeClr>
              </a:solidFill>
              <a:effectLst/>
              <a:latin typeface="Bodoni MT Black" panose="02070A03080606020203" pitchFamily="18" charset="0"/>
              <a:ea typeface="+mn-ea"/>
              <a:cs typeface="+mn-cs"/>
            </a:endParaRPr>
          </a:p>
          <a:p>
            <a:pPr algn="l"/>
            <a:r>
              <a:rPr lang="en-IN" sz="2800" b="1" i="0">
                <a:solidFill>
                  <a:schemeClr val="bg2">
                    <a:lumMod val="25000"/>
                  </a:schemeClr>
                </a:solidFill>
                <a:effectLst/>
                <a:latin typeface="Bodoni MT Black" panose="02070A03080606020203" pitchFamily="18" charset="0"/>
                <a:ea typeface="+mn-ea"/>
                <a:cs typeface="+mn-cs"/>
              </a:rPr>
              <a:t>›</a:t>
            </a:r>
            <a:r>
              <a:rPr lang="en-IN" sz="2800" b="1" i="0" baseline="0">
                <a:solidFill>
                  <a:schemeClr val="bg2">
                    <a:lumMod val="25000"/>
                  </a:schemeClr>
                </a:solidFill>
                <a:effectLst/>
                <a:latin typeface="Bodoni MT Black" panose="02070A03080606020203" pitchFamily="18" charset="0"/>
                <a:ea typeface="+mn-ea"/>
                <a:cs typeface="+mn-cs"/>
              </a:rPr>
              <a:t> </a:t>
            </a:r>
            <a:r>
              <a:rPr lang="en-IN" sz="1800" b="0" i="0">
                <a:solidFill>
                  <a:schemeClr val="bg2">
                    <a:lumMod val="25000"/>
                  </a:schemeClr>
                </a:solidFill>
                <a:effectLst/>
                <a:latin typeface="+mn-lt"/>
                <a:ea typeface="+mn-ea"/>
                <a:cs typeface="+mn-cs"/>
              </a:rPr>
              <a:t>Products with</a:t>
            </a:r>
            <a:r>
              <a:rPr lang="en-IN" sz="1800" b="0" i="0" baseline="0">
                <a:solidFill>
                  <a:schemeClr val="bg2">
                    <a:lumMod val="25000"/>
                  </a:schemeClr>
                </a:solidFill>
                <a:effectLst/>
                <a:latin typeface="+mn-lt"/>
                <a:ea typeface="+mn-ea"/>
                <a:cs typeface="+mn-cs"/>
              </a:rPr>
              <a:t> less Demand can be paired with high demanded Products with good </a:t>
            </a:r>
          </a:p>
          <a:p>
            <a:pPr algn="l"/>
            <a:r>
              <a:rPr lang="en-IN" sz="1800" b="0" i="0" baseline="0">
                <a:solidFill>
                  <a:schemeClr val="bg2">
                    <a:lumMod val="25000"/>
                  </a:schemeClr>
                </a:solidFill>
                <a:effectLst/>
                <a:latin typeface="+mn-lt"/>
                <a:ea typeface="+mn-ea"/>
                <a:cs typeface="+mn-cs"/>
              </a:rPr>
              <a:t>      Discounts for stock clearence.</a:t>
            </a:r>
            <a:endParaRPr lang="en-IN" sz="1800" b="0" i="0">
              <a:solidFill>
                <a:schemeClr val="bg2">
                  <a:lumMod val="25000"/>
                </a:schemeClr>
              </a:solidFill>
              <a:effectLst/>
              <a:latin typeface="+mn-lt"/>
              <a:ea typeface="+mn-ea"/>
              <a:cs typeface="+mn-cs"/>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949804166667" createdVersion="8" refreshedVersion="8" minRefreshableVersion="3" recordCount="982" xr:uid="{2A5BDFAE-6A93-436F-9820-CD035D1FB62B}">
  <cacheSource type="worksheet">
    <worksheetSource name="Table2"/>
  </cacheSource>
  <cacheFields count="10">
    <cacheField name="OrderID" numFmtId="0">
      <sharedItems count="965">
        <s v="ORD20"/>
        <s v="ORD22"/>
        <s v="ORD23"/>
        <s v="ORD24"/>
        <s v="ORD25"/>
        <s v="ORD26"/>
        <s v="ORD27"/>
        <s v="ORD28"/>
        <s v="ORD29"/>
        <s v="ORD211"/>
        <s v="ORD213"/>
        <s v="ORD214"/>
        <s v="ORD215"/>
        <s v="ORD216"/>
        <s v="ORD217"/>
        <s v="ORD219"/>
        <s v="ORD220"/>
        <s v="ORD221"/>
        <s v="ORD222"/>
        <s v="ORD223"/>
        <s v="ORD224"/>
        <s v="ORD226"/>
        <s v="ORD227"/>
        <s v="ORD228"/>
        <s v="ORD229"/>
        <s v="ORD230"/>
        <s v="ORD231"/>
        <s v="ORD232"/>
        <s v="ORD233"/>
        <s v="ORD235"/>
        <s v="ORD236"/>
        <s v="ORD237"/>
        <s v="ORD238"/>
        <s v="ORD239"/>
        <s v="ORD240"/>
        <s v="ORD241"/>
        <s v="ORD242"/>
        <s v="ORD243"/>
        <s v="ORD244"/>
        <s v="ORD245"/>
        <s v="ORD246"/>
        <s v="ORD247"/>
        <s v="ORD248"/>
        <s v="ORD250"/>
        <s v="ORD251"/>
        <s v="ORD252"/>
        <s v="ORD253"/>
        <s v="ORD254"/>
        <s v="ORD255"/>
        <s v="ORD256"/>
        <s v="ORD257"/>
        <s v="ORD259"/>
        <s v="ORD260"/>
        <s v="ORD261"/>
        <s v="ORD262"/>
        <s v="ORD264"/>
        <s v="ORD265"/>
        <s v="ORD266"/>
        <s v="ORD267"/>
        <s v="ORD268"/>
        <s v="ORD269"/>
        <s v="ORD270"/>
        <s v="ORD271"/>
        <s v="ORD272"/>
        <s v="ORD273"/>
        <s v="ORD274"/>
        <s v="ORD275"/>
        <s v="ORD276"/>
        <s v="ORD279"/>
        <s v="ORD280"/>
        <s v="ORD281"/>
        <s v="ORD282"/>
        <s v="ORD283"/>
        <s v="ORD284"/>
        <s v="ORD285"/>
        <s v="ORD286"/>
        <s v="ORD287"/>
        <s v="ORD288"/>
        <s v="ORD289"/>
        <s v="ORD290"/>
        <s v="ORD291"/>
        <s v="ORD292"/>
        <s v="ORD293"/>
        <s v="ORD294"/>
        <s v="ORD295"/>
        <s v="ORD297"/>
        <s v="ORD298"/>
        <s v="ORD299"/>
        <s v="ORD2100"/>
        <s v="ORD2101"/>
        <s v="ORD2102"/>
        <s v="ORD2104"/>
        <s v="ORD2105"/>
        <s v="ORD2106"/>
        <s v="ORD2107"/>
        <s v="ORD2109"/>
        <s v="ORD2110"/>
        <s v="ORD2112"/>
        <s v="ORD2113"/>
        <s v="ORD2114"/>
        <s v="ORD2115"/>
        <s v="ORD2116"/>
        <s v="ORD2118"/>
        <s v="ORD2119"/>
        <s v="ORD2120"/>
        <s v="ORD2121"/>
        <s v="ORD2122"/>
        <s v="ORD2123"/>
        <s v="ORD2124"/>
        <s v="ORD2128"/>
        <s v="ORD2129"/>
        <s v="ORD2132"/>
        <s v="ORD2134"/>
        <s v="ORD2136"/>
        <s v="ORD2137"/>
        <s v="ORD2138"/>
        <s v="ORD2139"/>
        <s v="ORD2140"/>
        <s v="ORD2142"/>
        <s v="ORD2145"/>
        <s v="ORD2146"/>
        <s v="ORD2147"/>
        <s v="ORD2148"/>
        <s v="ORD2149"/>
        <s v="ORD2150"/>
        <s v="ORD2151"/>
        <s v="ORD2152"/>
        <s v="ORD2154"/>
        <s v="ORD2155"/>
        <s v="ORD2157"/>
        <s v="ORD2158"/>
        <s v="ORD2160"/>
        <s v="ORD2161"/>
        <s v="ORD2162"/>
        <s v="ORD2163"/>
        <s v="ORD2164"/>
        <s v="ORD2165"/>
        <s v="ORD2166"/>
        <s v="ORD2167"/>
        <s v="ORD2168"/>
        <s v="ORD2169"/>
        <s v="ORD2171"/>
        <s v="ORD2173"/>
        <s v="ORD2174"/>
        <s v="ORD2175"/>
        <s v="ORD2177"/>
        <s v="ORD2178"/>
        <s v="ORD2179"/>
        <s v="ORD2180"/>
        <s v="ORD2182"/>
        <s v="ORD2184"/>
        <s v="ORD2185"/>
        <s v="ORD2186"/>
        <s v="ORD2188"/>
        <s v="ORD2191"/>
        <s v="ORD2192"/>
        <s v="ORD2193"/>
        <s v="ORD2194"/>
        <s v="ORD2195"/>
        <s v="ORD2196"/>
        <s v="ORD2197"/>
        <s v="ORD2199"/>
        <s v="ORD2200"/>
        <s v="ORD2202"/>
        <s v="ORD2205"/>
        <s v="ORD2206"/>
        <s v="ORD2207"/>
        <s v="ORD2208"/>
        <s v="ORD2209"/>
        <s v="ORD2211"/>
        <s v="ORD2212"/>
        <s v="ORD2213"/>
        <s v="ORD2214"/>
        <s v="ORD2215"/>
        <s v="ORD2216"/>
        <s v="ORD2217"/>
        <s v="ORD2218"/>
        <s v="ORD2219"/>
        <s v="ORD2221"/>
        <s v="ORD2222"/>
        <s v="ORD2223"/>
        <s v="ORD2224"/>
        <s v="ORD2225"/>
        <s v="ORD2226"/>
        <s v="ORD2227"/>
        <s v="ORD2228"/>
        <s v="ORD2230"/>
        <s v="ORD2231"/>
        <s v="ORD2234"/>
        <s v="ORD2235"/>
        <s v="ORD2238"/>
        <s v="ORD2239"/>
        <s v="ORD2240"/>
        <s v="ORD2241"/>
        <s v="ORD2242"/>
        <s v="ORD2243"/>
        <s v="ORD2244"/>
        <s v="ORD2245"/>
        <s v="ORD2246"/>
        <s v="ORD2247"/>
        <s v="ORD2249"/>
        <s v="ORD2250"/>
        <s v="ORD2251"/>
        <s v="ORD2252"/>
        <s v="ORD2254"/>
        <s v="ORD2255"/>
        <s v="ORD2256"/>
        <s v="ORD2257"/>
        <s v="ORD2259"/>
        <s v="ORD2260"/>
        <s v="ORD2261"/>
        <s v="ORD2262"/>
        <s v="ORD2263"/>
        <s v="ORD2264"/>
        <s v="ORD2265"/>
        <s v="ORD2266"/>
        <s v="ORD2267"/>
        <s v="ORD2269"/>
        <s v="ORD2270"/>
        <s v="ORD2271"/>
        <s v="ORD2272"/>
        <s v="ORD2274"/>
        <s v="ORD2275"/>
        <s v="ORD2276"/>
        <s v="ORD2277"/>
        <s v="ORD2278"/>
        <s v="ORD2279"/>
        <s v="ORD2280"/>
        <s v="ORD2281"/>
        <s v="ORD2283"/>
        <s v="ORD2284"/>
        <s v="ORD2286"/>
        <s v="ORD2287"/>
        <s v="ORD2288"/>
        <s v="ORD2290"/>
        <s v="ORD2291"/>
        <s v="ORD2292"/>
        <s v="ORD2293"/>
        <s v="ORD2295"/>
        <s v="ORD2296"/>
        <s v="ORD2297"/>
        <s v="ORD2300"/>
        <s v="ORD2301"/>
        <s v="ORD2303"/>
        <s v="ORD2304"/>
        <s v="ORD2305"/>
        <s v="ORD2307"/>
        <s v="ORD2309"/>
        <s v="ORD2311"/>
        <s v="ORD2312"/>
        <s v="ORD2313"/>
        <s v="ORD2314"/>
        <s v="ORD2315"/>
        <s v="ORD2316"/>
        <s v="ORD2317"/>
        <s v="ORD2318"/>
        <s v="ORD2319"/>
        <s v="ORD2321"/>
        <s v="ORD2322"/>
        <s v="ORD2323"/>
        <s v="ORD2324"/>
        <s v="ORD2325"/>
        <s v="ORD2326"/>
        <s v="ORD2327"/>
        <s v="ORD2328"/>
        <s v="ORD2329"/>
        <s v="ORD2330"/>
        <s v="ORD2332"/>
        <s v="ORD2333"/>
        <s v="ORD2334"/>
        <s v="ORD2335"/>
        <s v="ORD2336"/>
        <s v="ORD2337"/>
        <s v="ORD2338"/>
        <s v="ORD2339"/>
        <s v="ORD2342"/>
        <s v="ORD2343"/>
        <s v="ORD2344"/>
        <s v="ORD2346"/>
        <s v="ORD2347"/>
        <s v="ORD2348"/>
        <s v="ORD2349"/>
        <s v="ORD2350"/>
        <s v="ORD2352"/>
        <s v="ORD2353"/>
        <s v="ORD2354"/>
        <s v="ORD2356"/>
        <s v="ORD2357"/>
        <s v="ORD2359"/>
        <s v="ORD2361"/>
        <s v="ORD2362"/>
        <s v="ORD2363"/>
        <s v="ORD2366"/>
        <s v="ORD2367"/>
        <s v="ORD2368"/>
        <s v="ORD2369"/>
        <s v="ORD2370"/>
        <s v="ORD2371"/>
        <s v="ORD2372"/>
        <s v="ORD2373"/>
        <s v="ORD2377"/>
        <s v="ORD2379"/>
        <s v="ORD2381"/>
        <s v="ORD2382"/>
        <s v="ORD2383"/>
        <s v="ORD2384"/>
        <s v="ORD2386"/>
        <s v="ORD2387"/>
        <s v="ORD2388"/>
        <s v="ORD2390"/>
        <s v="ORD2391"/>
        <s v="ORD2392"/>
        <s v="ORD2393"/>
        <s v="ORD2394"/>
        <s v="ORD2395"/>
        <s v="ORD2396"/>
        <s v="ORD2397"/>
        <s v="ORD2398"/>
        <s v="ORD2399"/>
        <s v="ORD2400"/>
        <s v="ORD2401"/>
        <s v="ORD2402"/>
        <s v="ORD2403"/>
        <s v="ORD2404"/>
        <s v="ORD2406"/>
        <s v="ORD2408"/>
        <s v="ORD2409"/>
        <s v="ORD2411"/>
        <s v="ORD2412"/>
        <s v="ORD2413"/>
        <s v="ORD2414"/>
        <s v="ORD2415"/>
        <s v="ORD2416"/>
        <s v="ORD2417"/>
        <s v="ORD2418"/>
        <s v="ORD2420"/>
        <s v="ORD2421"/>
        <s v="ORD2422"/>
        <s v="ORD2424"/>
        <s v="ORD2425"/>
        <s v="ORD2427"/>
        <s v="ORD2428"/>
        <s v="ORD2429"/>
        <s v="ORD2431"/>
        <s v="ORD2432"/>
        <s v="ORD2433"/>
        <s v="ORD2434"/>
        <s v="ORD2435"/>
        <s v="ORD2436"/>
        <s v="ORD2437"/>
        <s v="ORD2438"/>
        <s v="ORD2439"/>
        <s v="ORD2440"/>
        <s v="ORD2442"/>
        <s v="ORD2443"/>
        <s v="ORD2444"/>
        <s v="ORD2445"/>
        <s v="ORD2446"/>
        <s v="ORD2449"/>
        <s v="ORD2450"/>
        <s v="ORD2451"/>
        <s v="ORD2453"/>
        <s v="ORD2454"/>
        <s v="ORD2455"/>
        <s v="ORD2456"/>
        <s v="ORD2457"/>
        <s v="ORD2458"/>
        <s v="ORD2459"/>
        <s v="ORD2461"/>
        <s v="ORD2463"/>
        <s v="ORD2464"/>
        <s v="ORD2466"/>
        <s v="ORD2467"/>
        <s v="ORD2469"/>
        <s v="ORD2470"/>
        <s v="ORD2471"/>
        <s v="ORD2472"/>
        <s v="ORD2473"/>
        <s v="ORD2476"/>
        <s v="ORD2477"/>
        <s v="ORD2478"/>
        <s v="ORD2479"/>
        <s v="ORD2480"/>
        <s v="ORD2481"/>
        <s v="ORD2483"/>
        <s v="ORD2484"/>
        <s v="ORD2486"/>
        <s v="ORD2488"/>
        <s v="ORD2489"/>
        <s v="ORD2490"/>
        <s v="ORD2492"/>
        <s v="ORD2493"/>
        <s v="ORD2494"/>
        <s v="ORD2495"/>
        <s v="ORD2496"/>
        <s v="ORD2497"/>
        <s v="ORD2498"/>
        <s v="ORD2499"/>
        <s v="ORD2500"/>
        <s v="ORD2503"/>
        <s v="ORD2504"/>
        <s v="ORD2506"/>
        <s v="ORD2507"/>
        <s v="ORD2509"/>
        <s v="ORD2510"/>
        <s v="ORD2511"/>
        <s v="ORD2512"/>
        <s v="ORD2513"/>
        <s v="ORD2514"/>
        <s v="ORD2515"/>
        <s v="ORD2517"/>
        <s v="ORD2518"/>
        <s v="ORD2519"/>
        <s v="ORD2520"/>
        <s v="ORD2521"/>
        <s v="ORD2524"/>
        <s v="ORD2526"/>
        <s v="ORD2527"/>
        <s v="ORD2528"/>
        <s v="ORD2529"/>
        <s v="ORD2531"/>
        <s v="ORD2533"/>
        <s v="ORD2534"/>
        <s v="ORD2535"/>
        <s v="ORD2536"/>
        <s v="ORD2538"/>
        <s v="ORD2540"/>
        <s v="ORD2541"/>
        <s v="ORD2542"/>
        <s v="ORD2543"/>
        <s v="ORD2544"/>
        <s v="ORD2545"/>
        <s v="ORD2546"/>
        <s v="ORD2547"/>
        <s v="ORD2548"/>
        <s v="ORD2549"/>
        <s v="ORD2551"/>
        <s v="ORD2552"/>
        <s v="ORD2553"/>
        <s v="ORD2554"/>
        <s v="ORD2556"/>
        <s v="ORD2558"/>
        <s v="ORD2559"/>
        <s v="ORD2560"/>
        <s v="ORD2561"/>
        <s v="ORD2564"/>
        <s v="ORD2565"/>
        <s v="ORD2566"/>
        <s v="ORD2567"/>
        <s v="ORD2568"/>
        <s v="ORD2569"/>
        <s v="ORD2571"/>
        <s v="ORD2573"/>
        <s v="ORD2574"/>
        <s v="ORD2575"/>
        <s v="ORD2576"/>
        <s v="ORD2577"/>
        <s v="ORD2578"/>
        <s v="ORD2579"/>
        <s v="ORD2580"/>
        <s v="ORD2581"/>
        <s v="ORD2582"/>
        <s v="ORD2583"/>
        <s v="ORD2584"/>
        <s v="ORD2587"/>
        <s v="ORD2588"/>
        <s v="ORD2589"/>
        <s v="ORD2590"/>
        <s v="ORD2591"/>
        <s v="ORD2594"/>
        <s v="ORD2595"/>
        <s v="ORD2596"/>
        <s v="ORD2597"/>
        <s v="ORD2598"/>
        <s v="ORD2599"/>
        <s v="ORD2600"/>
        <s v="ORD2601"/>
        <s v="ORD2603"/>
        <s v="ORD2604"/>
        <s v="ORD2606"/>
        <s v="ORD2607"/>
        <s v="ORD2608"/>
        <s v="ORD2609"/>
        <s v="ORD2610"/>
        <s v="ORD2611"/>
        <s v="ORD2612"/>
        <s v="ORD2613"/>
        <s v="ORD2614"/>
        <s v="ORD2615"/>
        <s v="ORD2616"/>
        <s v="ORD2618"/>
        <s v="ORD2619"/>
        <s v="ORD2620"/>
        <s v="ORD2621"/>
        <s v="ORD2622"/>
        <s v="ORD2623"/>
        <s v="ORD2624"/>
        <s v="ORD2626"/>
        <s v="ORD2627"/>
        <s v="ORD2628"/>
        <s v="ORD2629"/>
        <s v="ORD2630"/>
        <s v="ORD2631"/>
        <s v="ORD2632"/>
        <s v="ORD2633"/>
        <s v="ORD2635"/>
        <s v="ORD2636"/>
        <s v="ORD2637"/>
        <s v="ORD2638"/>
        <s v="ORD2639"/>
        <s v="ORD2640"/>
        <s v="ORD2641"/>
        <s v="ORD2642"/>
        <s v="ORD2644"/>
        <s v="ORD2645"/>
        <s v="ORD2646"/>
        <s v="ORD2648"/>
        <s v="ORD2650"/>
        <s v="ORD2651"/>
        <s v="ORD2652"/>
        <s v="ORD2653"/>
        <s v="ORD2654"/>
        <s v="ORD2655"/>
        <s v="ORD2656"/>
        <s v="ORD2657"/>
        <s v="ORD2659"/>
        <s v="ORD2661"/>
        <s v="ORD2662"/>
        <s v="ORD2664"/>
        <s v="ORD2665"/>
        <s v="ORD2666"/>
        <s v="ORD2667"/>
        <s v="ORD2668"/>
        <s v="ORD2669"/>
        <s v="ORD2670"/>
        <s v="ORD2671"/>
        <s v="ORD2672"/>
        <s v="ORD2673"/>
        <s v="ORD2674"/>
        <s v="ORD2675"/>
        <s v="ORD2676"/>
        <s v="ORD2677"/>
        <s v="ORD2678"/>
        <s v="ORD2679"/>
        <s v="ORD2680"/>
        <s v="ORD2681"/>
        <s v="ORD2683"/>
        <s v="ORD2684"/>
        <s v="ORD2685"/>
        <s v="ORD2686"/>
        <s v="ORD2687"/>
        <s v="ORD2688"/>
        <s v="ORD2689"/>
        <s v="ORD2690"/>
        <s v="ORD2691"/>
        <s v="ORD2692"/>
        <s v="ORD2693"/>
        <s v="ORD2694"/>
        <s v="ORD2695"/>
        <s v="ORD2696"/>
        <s v="ORD2698"/>
        <s v="ORD2700"/>
        <s v="ORD2701"/>
        <s v="ORD2703"/>
        <s v="ORD2704"/>
        <s v="ORD2705"/>
        <s v="ORD2707"/>
        <s v="ORD2708"/>
        <s v="ORD2710"/>
        <s v="ORD2711"/>
        <s v="ORD2712"/>
        <s v="ORD2713"/>
        <s v="ORD2715"/>
        <s v="ORD2716"/>
        <s v="ORD2717"/>
        <s v="ORD2718"/>
        <s v="ORD2719"/>
        <s v="ORD2720"/>
        <s v="ORD2721"/>
        <s v="ORD2722"/>
        <s v="ORD2724"/>
        <s v="ORD2725"/>
        <s v="ORD2727"/>
        <s v="ORD2728"/>
        <s v="ORD2731"/>
        <s v="ORD2732"/>
        <s v="ORD2734"/>
        <s v="ORD2737"/>
        <s v="ORD2738"/>
        <s v="ORD2740"/>
        <s v="ORD2741"/>
        <s v="ORD2742"/>
        <s v="ORD2743"/>
        <s v="ORD2744"/>
        <s v="ORD2745"/>
        <s v="ORD2747"/>
        <s v="ORD2748"/>
        <s v="ORD2749"/>
        <s v="ORD2750"/>
        <s v="ORD2751"/>
        <s v="ORD2754"/>
        <s v="ORD2756"/>
        <s v="ORD2757"/>
        <s v="ORD2758"/>
        <s v="ORD2759"/>
        <s v="ORD2760"/>
        <s v="ORD2761"/>
        <s v="ORD2762"/>
        <s v="ORD2763"/>
        <s v="ORD2764"/>
        <s v="ORD2767"/>
        <s v="ORD2768"/>
        <s v="ORD2769"/>
        <s v="ORD2771"/>
        <s v="ORD2773"/>
        <s v="ORD2774"/>
        <s v="ORD2775"/>
        <s v="ORD2776"/>
        <s v="ORD2777"/>
        <s v="ORD2778"/>
        <s v="ORD2779"/>
        <s v="ORD2780"/>
        <s v="ORD2782"/>
        <s v="ORD2784"/>
        <s v="ORD2785"/>
        <s v="ORD2787"/>
        <s v="ORD2788"/>
        <s v="ORD2789"/>
        <s v="ORD2790"/>
        <s v="ORD2791"/>
        <s v="ORD2792"/>
        <s v="ORD2793"/>
        <s v="ORD2794"/>
        <s v="ORD2795"/>
        <s v="ORD2797"/>
        <s v="ORD2798"/>
        <s v="ORD2799"/>
        <s v="ORD2800"/>
        <s v="ORD2801"/>
        <s v="ORD2804"/>
        <s v="ORD2805"/>
        <s v="ORD2806"/>
        <s v="ORD2807"/>
        <s v="ORD2808"/>
        <s v="ORD2809"/>
        <s v="ORD2810"/>
        <s v="ORD2811"/>
        <s v="ORD2812"/>
        <s v="ORD2813"/>
        <s v="ORD2814"/>
        <s v="ORD2815"/>
        <s v="ORD2816"/>
        <s v="ORD2817"/>
        <s v="ORD2818"/>
        <s v="ORD2819"/>
        <s v="ORD2822"/>
        <s v="ORD2824"/>
        <s v="ORD2825"/>
        <s v="ORD2826"/>
        <s v="ORD2827"/>
        <s v="ORD2828"/>
        <s v="ORD2830"/>
        <s v="ORD2831"/>
        <s v="ORD2833"/>
        <s v="ORD2834"/>
        <s v="ORD2836"/>
        <s v="ORD2837"/>
        <s v="ORD2838"/>
        <s v="ORD2840"/>
        <s v="ORD2841"/>
        <s v="ORD2842"/>
        <s v="ORD2843"/>
        <s v="ORD2844"/>
        <s v="ORD2845"/>
        <s v="ORD2847"/>
        <s v="ORD2849"/>
        <s v="ORD2850"/>
        <s v="ORD2851"/>
        <s v="ORD2852"/>
        <s v="ORD2854"/>
        <s v="ORD2855"/>
        <s v="ORD2856"/>
        <s v="ORD2858"/>
        <s v="ORD2859"/>
        <s v="ORD2860"/>
        <s v="ORD2861"/>
        <s v="ORD2863"/>
        <s v="ORD2864"/>
        <s v="ORD2865"/>
        <s v="ORD2866"/>
        <s v="ORD2867"/>
        <s v="ORD2868"/>
        <s v="ORD2869"/>
        <s v="ORD2870"/>
        <s v="ORD2871"/>
        <s v="ORD2872"/>
        <s v="ORD2873"/>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2"/>
        <s v="ORD2913"/>
        <s v="ORD2914"/>
        <s v="ORD2915"/>
        <s v="ORD2917"/>
        <s v="ORD2918"/>
        <s v="ORD2919"/>
        <s v="ORD2920"/>
        <s v="ORD2921"/>
        <s v="ORD2922"/>
        <s v="ORD2923"/>
        <s v="ORD2924"/>
        <s v="ORD2926"/>
        <s v="ORD2927"/>
        <s v="ORD2928"/>
        <s v="ORD2929"/>
        <s v="ORD2930"/>
        <s v="ORD2932"/>
        <s v="ORD2934"/>
        <s v="ORD2935"/>
        <s v="ORD2936"/>
        <s v="ORD2937"/>
        <s v="ORD2938"/>
        <s v="ORD2939"/>
        <s v="ORD2940"/>
        <s v="ORD2941"/>
        <s v="ORD2942"/>
        <s v="ORD2944"/>
        <s v="ORD2945"/>
        <s v="ORD2946"/>
        <s v="ORD2947"/>
        <s v="ORD2948"/>
        <s v="ORD2949"/>
        <s v="ORD2951"/>
        <s v="ORD2952"/>
        <s v="ORD2953"/>
        <s v="ORD2954"/>
        <s v="ORD2956"/>
        <s v="ORD2957"/>
        <s v="ORD2958"/>
        <s v="ORD2959"/>
        <s v="ORD2960"/>
        <s v="ORD2961"/>
        <s v="ORD2962"/>
        <s v="ORD2963"/>
        <s v="ORD2964"/>
        <s v="ORD2965"/>
        <s v="ORD2966"/>
        <s v="ORD2967"/>
        <s v="ORD2969"/>
        <s v="ORD2970"/>
        <s v="ORD2971"/>
        <s v="ORD2972"/>
        <s v="ORD2974"/>
        <s v="ORD2975"/>
        <s v="ORD2976"/>
        <s v="ORD2977"/>
        <s v="ORD2978"/>
        <s v="ORD2980"/>
        <s v="ORD2986"/>
        <s v="ORD2988"/>
        <s v="ORD2989"/>
        <s v="ORD2991"/>
        <s v="ORD2992"/>
        <s v="ORD2993"/>
        <s v="ORD2994"/>
        <s v="ORD2995"/>
        <s v="ORD2996"/>
        <s v="ORD2997"/>
        <s v="ORD2999"/>
        <s v="ORD21000"/>
        <s v="ORD21002"/>
        <s v="ORD21003"/>
        <s v="ORD21004"/>
        <s v="ORD21005"/>
        <s v="ORD21006"/>
        <s v="ORD21007"/>
        <s v="ORD21008"/>
        <s v="ORD21009"/>
        <s v="ORD21010"/>
        <s v="ORD21011"/>
        <s v="ORD21013"/>
        <s v="ORD21014"/>
        <s v="ORD21015"/>
        <s v="ORD21016"/>
        <s v="ORD21017"/>
        <s v="ORD21019"/>
        <s v="ORD21020"/>
        <s v="ORD21021"/>
        <s v="ORD21022"/>
        <s v="ORD21023"/>
        <s v="ORD21024"/>
        <s v="ORD21025"/>
        <s v="ORD21026"/>
        <s v="ORD21027"/>
        <s v="ORD21028"/>
        <s v="ORD21029"/>
        <s v="ORD21030"/>
        <s v="ORD21031"/>
        <s v="ORD21032"/>
        <s v="ORD21033"/>
        <s v="ORD21034"/>
        <s v="ORD21035"/>
        <s v="ORD21036"/>
        <s v="ORD21037"/>
        <s v="ORD21038"/>
        <s v="ORD21040"/>
        <s v="ORD21041"/>
        <s v="ORD21042"/>
        <s v="ORD21043"/>
        <s v="ORD21044"/>
        <s v="ORD21045"/>
        <s v="ORD21046"/>
        <s v="ORD21047"/>
        <s v="ORD21048"/>
        <s v="ORD21049"/>
        <s v="ORD21050"/>
        <s v="ORD21051"/>
        <s v="ORD21052"/>
        <s v="ORD21053"/>
        <s v="ORD21054"/>
        <s v="ORD21055"/>
        <s v="ORD21056"/>
        <s v="ORD21059"/>
        <s v="ORD21060"/>
        <s v="ORD21061"/>
        <s v="ORD21062"/>
        <s v="ORD21063"/>
        <s v="ORD21064"/>
        <s v="ORD21065"/>
        <s v="ORD21066"/>
        <s v="ORD21069"/>
        <s v="ORD21071"/>
        <s v="ORD21073"/>
        <s v="ORD21074"/>
        <s v="ORD21075"/>
        <s v="ORD21077"/>
        <s v="ORD21078"/>
        <s v="ORD21079"/>
        <s v="ORD21080"/>
        <s v="ORD21081"/>
        <s v="ORD21085"/>
        <s v="ORD21086"/>
        <s v="ORD21087"/>
        <s v="ORD21088"/>
        <s v="ORD21089"/>
        <s v="ORD21092"/>
        <s v="ORD21093"/>
        <s v="ORD21094"/>
        <s v="ORD21095"/>
        <s v="ORD21097"/>
        <s v="ORD21098"/>
        <s v="ORD21099"/>
        <s v="ORD21102"/>
        <s v="ORD21104"/>
        <s v="ORD21105"/>
        <s v="ORD21106"/>
        <s v="ORD21107"/>
        <s v="ORD21108"/>
        <s v="ORD21109"/>
        <s v="ORD21111"/>
        <s v="ORD21113"/>
        <s v="ORD21114"/>
        <s v="ORD21115"/>
        <s v="ORD21117"/>
        <s v="ORD21119"/>
        <s v="ORD21120"/>
        <s v="ORD21121"/>
        <s v="ORD21122"/>
        <s v="ORD21123"/>
        <s v="ORD21125"/>
        <s v="ORD21126"/>
        <s v="ORD21127"/>
        <s v="ORD21128"/>
        <s v="ORD21130"/>
        <s v="ORD21132"/>
        <s v="ORD21133"/>
        <s v="ORD21134"/>
        <s v="ORD21135"/>
        <s v="ORD21136"/>
        <s v="ORD21137"/>
        <s v="ORD21138"/>
        <s v="ORD21139"/>
        <s v="ORD21140"/>
        <s v="ORD21141"/>
        <s v="ORD21142"/>
        <s v="ORD21143"/>
        <s v="ORD21145"/>
        <s v="ORD21146"/>
        <s v="ORD21147"/>
        <s v="ORD21148"/>
        <s v="ORD21149"/>
        <s v="ORD21150"/>
        <s v="ORD21151"/>
        <s v="ORD21152"/>
        <s v="ORD21153"/>
        <s v="ORD21154"/>
        <s v="ORD21156"/>
        <s v="ORD21157"/>
        <s v="ORD21158"/>
        <s v="ORD21159"/>
        <s v="ORD21160"/>
        <s v="ORD21161"/>
        <s v="ORD21162"/>
        <s v="ORD21163"/>
        <s v="ORD21165"/>
        <s v="ORD21166"/>
        <s v="ORD21168"/>
        <s v="ORD21169"/>
        <s v="ORD21170"/>
        <s v="ORD21171"/>
        <s v="ORD21173"/>
        <s v="ORD21175"/>
        <s v="ORD21176"/>
        <s v="ORD21178"/>
        <s v="ORD21179"/>
        <s v="ORD21181"/>
        <s v="ORD21182"/>
        <s v="ORD21183"/>
        <s v="ORD21184"/>
        <s v="ORD21185"/>
        <s v="ORD21186"/>
        <s v="ORD21187"/>
        <s v="ORD21188"/>
        <s v="ORD21189"/>
        <s v="ORD21190"/>
        <s v="ORD21191"/>
        <s v="ORD21192"/>
        <s v="ORD21194"/>
        <s v="ORD21195"/>
        <s v="ORD21198"/>
        <s v="ORD21199"/>
      </sharedItems>
    </cacheField>
    <cacheField name="Date" numFmtId="14">
      <sharedItems containsSemiMixedTypes="0" containsNonDate="0" containsDate="1" containsString="0" minDate="2023-01-01T00:00:00" maxDate="2024-01-02T00:00:00" count="346">
        <d v="2023-01-29T00:00:00"/>
        <d v="2023-08-27T00:00:00"/>
        <d v="2023-03-11T00:00:00"/>
        <d v="2023-07-06T00:00:00"/>
        <d v="2023-08-05T00:00:00"/>
        <d v="2023-10-13T00:00:00"/>
        <d v="2023-12-28T00:00:00"/>
        <d v="2023-06-24T00:00:00"/>
        <d v="2023-02-24T00:00:00"/>
        <d v="2023-07-03T00:00:00"/>
        <d v="2023-05-16T00:00:00"/>
        <d v="2023-03-07T00:00:00"/>
        <d v="2023-03-08T00:00:00"/>
        <d v="2023-09-18T00:00:00"/>
        <d v="2023-11-16T00:00:00"/>
        <d v="2023-09-24T00:00:00"/>
        <d v="2023-08-11T00:00:00"/>
        <d v="2023-02-18T00:00:00"/>
        <d v="2023-12-17T00:00:00"/>
        <d v="2023-10-29T00:00:00"/>
        <d v="2023-04-09T00:00:00"/>
        <d v="2023-12-09T00:00:00"/>
        <d v="2023-12-15T00:00:00"/>
        <d v="2023-10-22T00:00:00"/>
        <d v="2023-09-26T00:00:00"/>
        <d v="2023-03-22T00:00:00"/>
        <d v="2023-07-16T00:00:00"/>
        <d v="2023-08-30T00:00:00"/>
        <d v="2023-10-19T00:00:00"/>
        <d v="2023-09-08T00:00:00"/>
        <d v="2023-04-15T00:00:00"/>
        <d v="2023-12-12T00:00:00"/>
        <d v="2023-07-27T00:00:00"/>
        <d v="2023-05-25T00:00:00"/>
        <d v="2023-06-07T00:00:00"/>
        <d v="2023-06-09T00:00:00"/>
        <d v="2023-03-18T00:00:00"/>
        <d v="2023-02-27T00:00:00"/>
        <d v="2023-08-15T00:00:00"/>
        <d v="2023-12-14T00:00:00"/>
        <d v="2023-06-25T00:00:00"/>
        <d v="2023-05-09T00:00:00"/>
        <d v="2023-05-26T00:00:00"/>
        <d v="2023-06-19T00:00:00"/>
        <d v="2023-01-24T00:00:00"/>
        <d v="2023-10-23T00:00:00"/>
        <d v="2023-11-15T00:00:00"/>
        <d v="2023-08-20T00:00:00"/>
        <d v="2023-09-12T00:00:00"/>
        <d v="2023-01-09T00:00:00"/>
        <d v="2023-07-05T00:00:00"/>
        <d v="2023-05-20T00:00:00"/>
        <d v="2023-12-26T00:00:00"/>
        <d v="2023-12-22T00:00:00"/>
        <d v="2023-09-23T00:00:00"/>
        <d v="2023-09-01T00:00:00"/>
        <d v="2023-08-16T00:00:00"/>
        <d v="2023-11-12T00:00:00"/>
        <d v="2023-01-15T00:00:00"/>
        <d v="2023-08-29T00:00:00"/>
        <d v="2023-02-03T00:00:00"/>
        <d v="2023-03-06T00:00:00"/>
        <d v="2023-05-14T00:00:00"/>
        <d v="2023-07-14T00:00:00"/>
        <d v="2023-04-16T00:00:00"/>
        <d v="2023-01-07T00:00:00"/>
        <d v="2023-01-10T00:00:00"/>
        <d v="2023-03-25T00:00:00"/>
        <d v="2023-10-17T00:00:00"/>
        <d v="2023-08-04T00:00:00"/>
        <d v="2023-09-28T00:00:00"/>
        <d v="2023-08-14T00:00:00"/>
        <d v="2023-04-23T00:00:00"/>
        <d v="2023-10-08T00:00:00"/>
        <d v="2023-12-06T00:00:00"/>
        <d v="2023-01-12T00:00:00"/>
        <d v="2023-12-31T00:00:00"/>
        <d v="2023-09-13T00:00:00"/>
        <d v="2023-09-02T00:00:00"/>
        <d v="2023-07-20T00:00:00"/>
        <d v="2023-10-07T00:00:00"/>
        <d v="2023-10-28T00:00:00"/>
        <d v="2023-08-02T00:00:00"/>
        <d v="2023-09-27T00:00:00"/>
        <d v="2023-02-06T00:00:00"/>
        <d v="2023-06-04T00:00:00"/>
        <d v="2023-05-04T00:00:00"/>
        <d v="2023-07-02T00:00:00"/>
        <d v="2023-06-22T00:00:00"/>
        <d v="2023-02-23T00:00:00"/>
        <d v="2023-01-01T00:00:00"/>
        <d v="2023-09-22T00:00:00"/>
        <d v="2023-03-30T00:00:00"/>
        <d v="2023-05-01T00:00:00"/>
        <d v="2023-09-07T00:00:00"/>
        <d v="2023-07-24T00:00:00"/>
        <d v="2023-06-29T00:00:00"/>
        <d v="2023-01-04T00:00:00"/>
        <d v="2023-02-13T00:00:00"/>
        <d v="2023-02-15T00:00:00"/>
        <d v="2023-06-08T00:00:00"/>
        <d v="2023-01-14T00:00:00"/>
        <d v="2023-04-04T00:00:00"/>
        <d v="2023-04-05T00:00:00"/>
        <d v="2023-09-06T00:00:00"/>
        <d v="2023-07-28T00:00:00"/>
        <d v="2023-12-13T00:00:00"/>
        <d v="2023-03-01T00:00:00"/>
        <d v="2023-12-04T00:00:00"/>
        <d v="2023-06-21T00:00:00"/>
        <d v="2023-05-15T00:00:00"/>
        <d v="2023-10-10T00:00:00"/>
        <d v="2023-07-18T00:00:00"/>
        <d v="2023-07-31T00:00:00"/>
        <d v="2023-04-14T00:00:00"/>
        <d v="2023-08-25T00:00:00"/>
        <d v="2023-04-17T00:00:00"/>
        <d v="2023-11-21T00:00:00"/>
        <d v="2023-04-06T00:00:00"/>
        <d v="2023-05-22T00:00:00"/>
        <d v="2023-10-16T00:00:00"/>
        <d v="2023-11-28T00:00:00"/>
        <d v="2023-10-04T00:00:00"/>
        <d v="2023-05-28T00:00:00"/>
        <d v="2023-08-01T00:00:00"/>
        <d v="2023-01-25T00:00:00"/>
        <d v="2023-01-03T00:00:00"/>
        <d v="2023-01-20T00:00:00"/>
        <d v="2023-09-17T00:00:00"/>
        <d v="2023-08-18T00:00:00"/>
        <d v="2023-03-19T00:00:00"/>
        <d v="2023-06-06T00:00:00"/>
        <d v="2023-01-13T00:00:00"/>
        <d v="2023-11-05T00:00:00"/>
        <d v="2023-05-12T00:00:00"/>
        <d v="2023-03-03T00:00:00"/>
        <d v="2023-01-11T00:00:00"/>
        <d v="2023-12-30T00:00:00"/>
        <d v="2023-11-11T00:00:00"/>
        <d v="2023-11-07T00:00:00"/>
        <d v="2023-03-12T00:00:00"/>
        <d v="2023-07-01T00:00:00"/>
        <d v="2023-07-08T00:00:00"/>
        <d v="2023-12-08T00:00:00"/>
        <d v="2023-10-15T00:00:00"/>
        <d v="2023-07-04T00:00:00"/>
        <d v="2023-01-06T00:00:00"/>
        <d v="2023-11-02T00:00:00"/>
        <d v="2023-02-10T00:00:00"/>
        <d v="2023-05-24T00:00:00"/>
        <d v="2024-01-01T00:00:00"/>
        <d v="2023-06-05T00:00:00"/>
        <d v="2023-08-10T00:00:00"/>
        <d v="2023-07-07T00:00:00"/>
        <d v="2023-11-18T00:00:00"/>
        <d v="2023-10-26T00:00:00"/>
        <d v="2023-04-27T00:00:00"/>
        <d v="2023-04-01T00:00:00"/>
        <d v="2023-12-11T00:00:00"/>
        <d v="2023-04-25T00:00:00"/>
        <d v="2023-12-27T00:00:00"/>
        <d v="2023-02-16T00:00:00"/>
        <d v="2023-04-08T00:00:00"/>
        <d v="2023-01-26T00:00:00"/>
        <d v="2023-08-22T00:00:00"/>
        <d v="2023-06-15T00:00:00"/>
        <d v="2023-02-28T00:00:00"/>
        <d v="2023-10-25T00:00:00"/>
        <d v="2023-11-24T00:00:00"/>
        <d v="2023-10-12T00:00:00"/>
        <d v="2023-12-03T00:00:00"/>
        <d v="2023-07-09T00:00:00"/>
        <d v="2023-09-29T00:00:00"/>
        <d v="2023-07-15T00:00:00"/>
        <d v="2023-03-24T00:00:00"/>
        <d v="2023-05-21T00:00:00"/>
        <d v="2023-08-03T00:00:00"/>
        <d v="2023-09-19T00:00:00"/>
        <d v="2023-12-19T00:00:00"/>
        <d v="2023-12-02T00:00:00"/>
        <d v="2023-02-20T00:00:00"/>
        <d v="2023-12-18T00:00:00"/>
        <d v="2023-08-21T00:00:00"/>
        <d v="2023-08-31T00:00:00"/>
        <d v="2023-05-17T00:00:00"/>
        <d v="2023-07-22T00:00:00"/>
        <d v="2023-03-04T00:00:00"/>
        <d v="2023-03-09T00:00:00"/>
        <d v="2023-04-20T00:00:00"/>
        <d v="2023-12-10T00:00:00"/>
        <d v="2023-11-17T00:00:00"/>
        <d v="2023-03-31T00:00:00"/>
        <d v="2023-04-26T00:00:00"/>
        <d v="2023-04-30T00:00:00"/>
        <d v="2023-06-18T00:00:00"/>
        <d v="2023-01-05T00:00:00"/>
        <d v="2023-11-03T00:00:00"/>
        <d v="2023-05-03T00:00:00"/>
        <d v="2023-12-05T00:00:00"/>
        <d v="2023-05-27T00:00:00"/>
        <d v="2023-03-29T00:00:00"/>
        <d v="2023-05-30T00:00:00"/>
        <d v="2023-11-01T00:00:00"/>
        <d v="2023-04-13T00:00:00"/>
        <d v="2023-04-07T00:00:00"/>
        <d v="2023-02-14T00:00:00"/>
        <d v="2023-04-28T00:00:00"/>
        <d v="2023-09-03T00:00:00"/>
        <d v="2023-10-06T00:00:00"/>
        <d v="2023-11-26T00:00:00"/>
        <d v="2023-01-31T00:00:00"/>
        <d v="2023-11-09T00:00:00"/>
        <d v="2023-08-26T00:00:00"/>
        <d v="2023-06-13T00:00:00"/>
        <d v="2023-05-13T00:00:00"/>
        <d v="2023-11-22T00:00:00"/>
        <d v="2023-10-02T00:00:00"/>
        <d v="2023-06-30T00:00:00"/>
        <d v="2023-08-23T00:00:00"/>
        <d v="2023-11-25T00:00:00"/>
        <d v="2023-06-26T00:00:00"/>
        <d v="2023-03-16T00:00:00"/>
        <d v="2023-09-21T00:00:00"/>
        <d v="2023-05-06T00:00:00"/>
        <d v="2023-04-02T00:00:00"/>
        <d v="2023-02-17T00:00:00"/>
        <d v="2023-01-28T00:00:00"/>
        <d v="2023-07-11T00:00:00"/>
        <d v="2023-06-11T00:00:00"/>
        <d v="2023-10-03T00:00:00"/>
        <d v="2023-07-13T00:00:00"/>
        <d v="2023-12-01T00:00:00"/>
        <d v="2023-02-21T00:00:00"/>
        <d v="2023-02-01T00:00:00"/>
        <d v="2023-06-03T00:00:00"/>
        <d v="2023-07-19T00:00:00"/>
        <d v="2023-12-07T00:00:00"/>
        <d v="2023-01-02T00:00:00"/>
        <d v="2023-07-17T00:00:00"/>
        <d v="2023-07-10T00:00:00"/>
        <d v="2023-06-20T00:00:00"/>
        <d v="2023-02-11T00:00:00"/>
        <d v="2023-09-20T00:00:00"/>
        <d v="2023-06-16T00:00:00"/>
        <d v="2023-04-18T00:00:00"/>
        <d v="2023-08-17T00:00:00"/>
        <d v="2023-07-12T00:00:00"/>
        <d v="2023-11-27T00:00:00"/>
        <d v="2023-04-03T00:00:00"/>
        <d v="2023-01-27T00:00:00"/>
        <d v="2023-02-04T00:00:00"/>
        <d v="2023-08-07T00:00:00"/>
        <d v="2023-06-23T00:00:00"/>
        <d v="2023-11-14T00:00:00"/>
        <d v="2023-03-21T00:00:00"/>
        <d v="2023-09-05T00:00:00"/>
        <d v="2023-09-30T00:00:00"/>
        <d v="2023-01-23T00:00:00"/>
        <d v="2023-05-02T00:00:00"/>
        <d v="2023-04-11T00:00:00"/>
        <d v="2023-03-20T00:00:00"/>
        <d v="2023-10-11T00:00:00"/>
        <d v="2023-01-19T00:00:00"/>
        <d v="2023-12-25T00:00:00"/>
        <d v="2023-10-27T00:00:00"/>
        <d v="2023-10-09T00:00:00"/>
        <d v="2023-06-14T00:00:00"/>
        <d v="2023-09-16T00:00:00"/>
        <d v="2023-11-19T00:00:00"/>
        <d v="2023-01-16T00:00:00"/>
        <d v="2023-11-04T00:00:00"/>
        <d v="2023-03-23T00:00:00"/>
        <d v="2023-07-29T00:00:00"/>
        <d v="2023-10-18T00:00:00"/>
        <d v="2023-11-20T00:00:00"/>
        <d v="2023-04-22T00:00:00"/>
        <d v="2023-02-02T00:00:00"/>
        <d v="2023-05-23T00:00:00"/>
        <d v="2023-06-01T00:00:00"/>
        <d v="2023-09-10T00:00:00"/>
        <d v="2023-04-19T00:00:00"/>
        <d v="2023-08-13T00:00:00"/>
        <d v="2023-06-28T00:00:00"/>
        <d v="2023-09-25T00:00:00"/>
        <d v="2023-12-20T00:00:00"/>
        <d v="2023-02-07T00:00:00"/>
        <d v="2023-03-10T00:00:00"/>
        <d v="2023-07-26T00:00:00"/>
        <d v="2023-02-25T00:00:00"/>
        <d v="2023-09-15T00:00:00"/>
        <d v="2023-08-24T00:00:00"/>
        <d v="2023-12-16T00:00:00"/>
        <d v="2023-05-11T00:00:00"/>
        <d v="2023-10-24T00:00:00"/>
        <d v="2023-11-06T00:00:00"/>
        <d v="2023-12-24T00:00:00"/>
        <d v="2023-03-28T00:00:00"/>
        <d v="2023-11-30T00:00:00"/>
        <d v="2023-09-09T00:00:00"/>
        <d v="2023-08-06T00:00:00"/>
        <d v="2023-01-17T00:00:00"/>
        <d v="2023-01-30T00:00:00"/>
        <d v="2023-10-30T00:00:00"/>
        <d v="2023-09-11T00:00:00"/>
        <d v="2023-05-07T00:00:00"/>
        <d v="2023-06-12T00:00:00"/>
        <d v="2023-12-21T00:00:00"/>
        <d v="2023-10-20T00:00:00"/>
        <d v="2023-05-08T00:00:00"/>
        <d v="2023-03-26T00:00:00"/>
        <d v="2023-05-29T00:00:00"/>
        <d v="2023-07-30T00:00:00"/>
        <d v="2023-12-29T00:00:00"/>
        <d v="2023-08-08T00:00:00"/>
        <d v="2023-11-23T00:00:00"/>
        <d v="2023-06-17T00:00:00"/>
        <d v="2023-01-08T00:00:00"/>
        <d v="2023-10-05T00:00:00"/>
        <d v="2023-11-10T00:00:00"/>
        <d v="2023-03-14T00:00:00"/>
        <d v="2023-02-22T00:00:00"/>
        <d v="2023-10-01T00:00:00"/>
        <d v="2023-02-12T00:00:00"/>
        <d v="2023-03-13T00:00:00"/>
        <d v="2023-03-02T00:00:00"/>
        <d v="2023-10-31T00:00:00"/>
        <d v="2023-04-24T00:00:00"/>
        <d v="2023-04-10T00:00:00"/>
        <d v="2023-01-18T00:00:00"/>
        <d v="2023-04-12T00:00:00"/>
        <d v="2023-05-31T00:00:00"/>
        <d v="2023-03-27T00:00:00"/>
        <d v="2023-09-04T00:00:00"/>
        <d v="2023-08-28T00:00:00"/>
        <d v="2023-05-19T00:00:00"/>
        <d v="2023-06-02T00:00:00"/>
        <d v="2023-07-23T00:00:00"/>
        <d v="2023-05-18T00:00:00"/>
        <d v="2023-08-12T00:00:00" u="1"/>
        <d v="2023-04-29T00:00:00" u="1"/>
        <d v="2023-05-05T00:00:00" u="1"/>
        <d v="2023-11-08T00:00:00" u="1"/>
        <d v="2023-07-25T00:00:00" u="1"/>
        <d v="2023-03-05T00:00:00" u="1"/>
        <d v="2023-06-27T00:00:00" u="1"/>
        <d v="2023-03-17T00:00:00" u="1"/>
      </sharedItems>
      <fieldGroup par="9"/>
    </cacheField>
    <cacheField name="Region" numFmtId="0">
      <sharedItems count="4">
        <s v="East"/>
        <s v="West"/>
        <s v="South"/>
        <s v="North"/>
      </sharedItems>
    </cacheField>
    <cacheField name="Product" numFmtId="0">
      <sharedItems count="5">
        <s v="Tablet"/>
        <s v="Phone"/>
        <s v="Monitor"/>
        <s v="Headphones"/>
        <s v="Laptop"/>
      </sharedItems>
    </cacheField>
    <cacheField name="Sales" numFmtId="164">
      <sharedItems containsSemiMixedTypes="0" containsString="0" containsNumber="1" containsInteger="1" minValue="181" maxValue="49881"/>
    </cacheField>
    <cacheField name="Quantity" numFmtId="0">
      <sharedItems containsSemiMixedTypes="0" containsString="0" containsNumber="1" containsInteger="1" minValue="1" maxValue="10"/>
    </cacheField>
    <cacheField name="Revenue" numFmtId="164">
      <sharedItems containsSemiMixedTypes="0" containsString="0" containsNumber="1" containsInteger="1" minValue="748" maxValue="49665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492425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2">
  <r>
    <x v="0"/>
    <x v="0"/>
    <x v="0"/>
    <x v="0"/>
    <n v="1002"/>
    <n v="10"/>
    <n v="10020"/>
  </r>
  <r>
    <x v="1"/>
    <x v="1"/>
    <x v="1"/>
    <x v="1"/>
    <n v="15870"/>
    <n v="3"/>
    <n v="47610"/>
  </r>
  <r>
    <x v="2"/>
    <x v="2"/>
    <x v="0"/>
    <x v="2"/>
    <n v="28434"/>
    <n v="7"/>
    <n v="199038"/>
  </r>
  <r>
    <x v="3"/>
    <x v="3"/>
    <x v="0"/>
    <x v="3"/>
    <n v="46756"/>
    <n v="8"/>
    <n v="374048"/>
  </r>
  <r>
    <x v="4"/>
    <x v="4"/>
    <x v="1"/>
    <x v="2"/>
    <n v="27113"/>
    <n v="8"/>
    <n v="216904"/>
  </r>
  <r>
    <x v="5"/>
    <x v="5"/>
    <x v="1"/>
    <x v="0"/>
    <n v="42433"/>
    <n v="8"/>
    <n v="339464"/>
  </r>
  <r>
    <x v="6"/>
    <x v="6"/>
    <x v="1"/>
    <x v="1"/>
    <n v="49464"/>
    <n v="10"/>
    <n v="494640"/>
  </r>
  <r>
    <x v="7"/>
    <x v="7"/>
    <x v="2"/>
    <x v="4"/>
    <n v="42575"/>
    <n v="4"/>
    <n v="170300"/>
  </r>
  <r>
    <x v="8"/>
    <x v="8"/>
    <x v="2"/>
    <x v="1"/>
    <n v="44438"/>
    <n v="1"/>
    <n v="44438"/>
  </r>
  <r>
    <x v="9"/>
    <x v="9"/>
    <x v="2"/>
    <x v="4"/>
    <n v="48303"/>
    <n v="4"/>
    <n v="193212"/>
  </r>
  <r>
    <x v="10"/>
    <x v="10"/>
    <x v="2"/>
    <x v="1"/>
    <n v="44523"/>
    <n v="2"/>
    <n v="89046"/>
  </r>
  <r>
    <x v="11"/>
    <x v="11"/>
    <x v="1"/>
    <x v="2"/>
    <n v="28966"/>
    <n v="5"/>
    <n v="144830"/>
  </r>
  <r>
    <x v="12"/>
    <x v="12"/>
    <x v="2"/>
    <x v="0"/>
    <n v="37815"/>
    <n v="8"/>
    <n v="302520"/>
  </r>
  <r>
    <x v="13"/>
    <x v="13"/>
    <x v="2"/>
    <x v="3"/>
    <n v="41405"/>
    <n v="10"/>
    <n v="414050"/>
  </r>
  <r>
    <x v="14"/>
    <x v="14"/>
    <x v="0"/>
    <x v="0"/>
    <n v="41497"/>
    <n v="7"/>
    <n v="290479"/>
  </r>
  <r>
    <x v="15"/>
    <x v="15"/>
    <x v="1"/>
    <x v="2"/>
    <n v="38875"/>
    <n v="4"/>
    <n v="155500"/>
  </r>
  <r>
    <x v="16"/>
    <x v="16"/>
    <x v="3"/>
    <x v="2"/>
    <n v="22892"/>
    <n v="10"/>
    <n v="228920"/>
  </r>
  <r>
    <x v="17"/>
    <x v="17"/>
    <x v="0"/>
    <x v="2"/>
    <n v="38469"/>
    <n v="6"/>
    <n v="230814"/>
  </r>
  <r>
    <x v="18"/>
    <x v="18"/>
    <x v="3"/>
    <x v="1"/>
    <n v="22017"/>
    <n v="8"/>
    <n v="176136"/>
  </r>
  <r>
    <x v="19"/>
    <x v="19"/>
    <x v="3"/>
    <x v="4"/>
    <n v="35210"/>
    <n v="4"/>
    <n v="140840"/>
  </r>
  <r>
    <x v="20"/>
    <x v="20"/>
    <x v="0"/>
    <x v="3"/>
    <n v="2586"/>
    <n v="2"/>
    <n v="5172"/>
  </r>
  <r>
    <x v="21"/>
    <x v="21"/>
    <x v="1"/>
    <x v="0"/>
    <n v="14054"/>
    <n v="7"/>
    <n v="98378"/>
  </r>
  <r>
    <x v="22"/>
    <x v="22"/>
    <x v="2"/>
    <x v="3"/>
    <n v="14448"/>
    <n v="2"/>
    <n v="28896"/>
  </r>
  <r>
    <x v="23"/>
    <x v="23"/>
    <x v="0"/>
    <x v="2"/>
    <n v="1288"/>
    <n v="2"/>
    <n v="2576"/>
  </r>
  <r>
    <x v="24"/>
    <x v="22"/>
    <x v="3"/>
    <x v="0"/>
    <n v="48071"/>
    <n v="6"/>
    <n v="288426"/>
  </r>
  <r>
    <x v="25"/>
    <x v="24"/>
    <x v="2"/>
    <x v="3"/>
    <n v="13808"/>
    <n v="9"/>
    <n v="124272"/>
  </r>
  <r>
    <x v="26"/>
    <x v="25"/>
    <x v="2"/>
    <x v="0"/>
    <n v="25208"/>
    <n v="1"/>
    <n v="25208"/>
  </r>
  <r>
    <x v="27"/>
    <x v="26"/>
    <x v="1"/>
    <x v="4"/>
    <n v="43283"/>
    <n v="7"/>
    <n v="302981"/>
  </r>
  <r>
    <x v="28"/>
    <x v="27"/>
    <x v="0"/>
    <x v="1"/>
    <n v="18599"/>
    <n v="7"/>
    <n v="130193"/>
  </r>
  <r>
    <x v="29"/>
    <x v="28"/>
    <x v="2"/>
    <x v="3"/>
    <n v="34743"/>
    <n v="10"/>
    <n v="347430"/>
  </r>
  <r>
    <x v="30"/>
    <x v="29"/>
    <x v="2"/>
    <x v="2"/>
    <n v="47703"/>
    <n v="3"/>
    <n v="143109"/>
  </r>
  <r>
    <x v="31"/>
    <x v="30"/>
    <x v="0"/>
    <x v="3"/>
    <n v="44817"/>
    <n v="10"/>
    <n v="448170"/>
  </r>
  <r>
    <x v="32"/>
    <x v="31"/>
    <x v="0"/>
    <x v="3"/>
    <n v="16947"/>
    <n v="6"/>
    <n v="101682"/>
  </r>
  <r>
    <x v="33"/>
    <x v="32"/>
    <x v="2"/>
    <x v="1"/>
    <n v="11730"/>
    <n v="5"/>
    <n v="58650"/>
  </r>
  <r>
    <x v="34"/>
    <x v="33"/>
    <x v="3"/>
    <x v="4"/>
    <n v="31531"/>
    <n v="4"/>
    <n v="126124"/>
  </r>
  <r>
    <x v="35"/>
    <x v="34"/>
    <x v="2"/>
    <x v="2"/>
    <n v="27655"/>
    <n v="5"/>
    <n v="138275"/>
  </r>
  <r>
    <x v="36"/>
    <x v="35"/>
    <x v="1"/>
    <x v="4"/>
    <n v="37821"/>
    <n v="9"/>
    <n v="340389"/>
  </r>
  <r>
    <x v="37"/>
    <x v="36"/>
    <x v="3"/>
    <x v="4"/>
    <n v="47288"/>
    <n v="9"/>
    <n v="425592"/>
  </r>
  <r>
    <x v="38"/>
    <x v="37"/>
    <x v="1"/>
    <x v="1"/>
    <n v="2337"/>
    <n v="6"/>
    <n v="14022"/>
  </r>
  <r>
    <x v="39"/>
    <x v="38"/>
    <x v="2"/>
    <x v="1"/>
    <n v="14135"/>
    <n v="4"/>
    <n v="56540"/>
  </r>
  <r>
    <x v="40"/>
    <x v="39"/>
    <x v="0"/>
    <x v="1"/>
    <n v="19496"/>
    <n v="7"/>
    <n v="136472"/>
  </r>
  <r>
    <x v="41"/>
    <x v="40"/>
    <x v="0"/>
    <x v="0"/>
    <n v="13398"/>
    <n v="6"/>
    <n v="80388"/>
  </r>
  <r>
    <x v="42"/>
    <x v="41"/>
    <x v="0"/>
    <x v="3"/>
    <n v="6454"/>
    <n v="7"/>
    <n v="45178"/>
  </r>
  <r>
    <x v="43"/>
    <x v="42"/>
    <x v="2"/>
    <x v="0"/>
    <n v="25729"/>
    <n v="3"/>
    <n v="77187"/>
  </r>
  <r>
    <x v="44"/>
    <x v="43"/>
    <x v="1"/>
    <x v="0"/>
    <n v="11448"/>
    <n v="4"/>
    <n v="45792"/>
  </r>
  <r>
    <x v="45"/>
    <x v="44"/>
    <x v="3"/>
    <x v="1"/>
    <n v="17050"/>
    <n v="3"/>
    <n v="51150"/>
  </r>
  <r>
    <x v="46"/>
    <x v="45"/>
    <x v="1"/>
    <x v="4"/>
    <n v="2629"/>
    <n v="6"/>
    <n v="15774"/>
  </r>
  <r>
    <x v="47"/>
    <x v="46"/>
    <x v="1"/>
    <x v="3"/>
    <n v="34160"/>
    <n v="1"/>
    <n v="34160"/>
  </r>
  <r>
    <x v="48"/>
    <x v="47"/>
    <x v="3"/>
    <x v="1"/>
    <n v="33754"/>
    <n v="1"/>
    <n v="33754"/>
  </r>
  <r>
    <x v="49"/>
    <x v="48"/>
    <x v="2"/>
    <x v="1"/>
    <n v="17979"/>
    <n v="8"/>
    <n v="143832"/>
  </r>
  <r>
    <x v="50"/>
    <x v="49"/>
    <x v="1"/>
    <x v="2"/>
    <n v="10828"/>
    <n v="1"/>
    <n v="10828"/>
  </r>
  <r>
    <x v="51"/>
    <x v="50"/>
    <x v="2"/>
    <x v="2"/>
    <n v="2093"/>
    <n v="7"/>
    <n v="14651"/>
  </r>
  <r>
    <x v="52"/>
    <x v="24"/>
    <x v="2"/>
    <x v="4"/>
    <n v="28232"/>
    <n v="7"/>
    <n v="197624"/>
  </r>
  <r>
    <x v="53"/>
    <x v="7"/>
    <x v="1"/>
    <x v="3"/>
    <n v="23237"/>
    <n v="9"/>
    <n v="209133"/>
  </r>
  <r>
    <x v="54"/>
    <x v="51"/>
    <x v="1"/>
    <x v="1"/>
    <n v="13642"/>
    <n v="2"/>
    <n v="27284"/>
  </r>
  <r>
    <x v="55"/>
    <x v="52"/>
    <x v="3"/>
    <x v="1"/>
    <n v="42305"/>
    <n v="2"/>
    <n v="84610"/>
  </r>
  <r>
    <x v="56"/>
    <x v="53"/>
    <x v="3"/>
    <x v="0"/>
    <n v="30670"/>
    <n v="5"/>
    <n v="153350"/>
  </r>
  <r>
    <x v="57"/>
    <x v="54"/>
    <x v="1"/>
    <x v="4"/>
    <n v="32285"/>
    <n v="5"/>
    <n v="161425"/>
  </r>
  <r>
    <x v="58"/>
    <x v="55"/>
    <x v="0"/>
    <x v="2"/>
    <n v="9050"/>
    <n v="4"/>
    <n v="36200"/>
  </r>
  <r>
    <x v="59"/>
    <x v="9"/>
    <x v="1"/>
    <x v="0"/>
    <n v="40435"/>
    <n v="4"/>
    <n v="161740"/>
  </r>
  <r>
    <x v="60"/>
    <x v="56"/>
    <x v="0"/>
    <x v="4"/>
    <n v="7591"/>
    <n v="8"/>
    <n v="60728"/>
  </r>
  <r>
    <x v="61"/>
    <x v="57"/>
    <x v="2"/>
    <x v="1"/>
    <n v="37862"/>
    <n v="1"/>
    <n v="37862"/>
  </r>
  <r>
    <x v="62"/>
    <x v="58"/>
    <x v="3"/>
    <x v="2"/>
    <n v="7970"/>
    <n v="8"/>
    <n v="63760"/>
  </r>
  <r>
    <x v="63"/>
    <x v="59"/>
    <x v="3"/>
    <x v="2"/>
    <n v="49623"/>
    <n v="10"/>
    <n v="496230"/>
  </r>
  <r>
    <x v="64"/>
    <x v="60"/>
    <x v="1"/>
    <x v="4"/>
    <n v="36495"/>
    <n v="4"/>
    <n v="145980"/>
  </r>
  <r>
    <x v="65"/>
    <x v="61"/>
    <x v="0"/>
    <x v="2"/>
    <n v="9885"/>
    <n v="4"/>
    <n v="39540"/>
  </r>
  <r>
    <x v="66"/>
    <x v="62"/>
    <x v="2"/>
    <x v="3"/>
    <n v="38623"/>
    <n v="7"/>
    <n v="270361"/>
  </r>
  <r>
    <x v="67"/>
    <x v="63"/>
    <x v="2"/>
    <x v="4"/>
    <n v="13666"/>
    <n v="10"/>
    <n v="136660"/>
  </r>
  <r>
    <x v="68"/>
    <x v="64"/>
    <x v="3"/>
    <x v="1"/>
    <n v="16081"/>
    <n v="9"/>
    <n v="144729"/>
  </r>
  <r>
    <x v="69"/>
    <x v="39"/>
    <x v="1"/>
    <x v="4"/>
    <n v="38910"/>
    <n v="1"/>
    <n v="38910"/>
  </r>
  <r>
    <x v="70"/>
    <x v="65"/>
    <x v="3"/>
    <x v="0"/>
    <n v="45053"/>
    <n v="5"/>
    <n v="225265"/>
  </r>
  <r>
    <x v="71"/>
    <x v="33"/>
    <x v="2"/>
    <x v="4"/>
    <n v="28379"/>
    <n v="6"/>
    <n v="170274"/>
  </r>
  <r>
    <x v="72"/>
    <x v="66"/>
    <x v="3"/>
    <x v="2"/>
    <n v="41880"/>
    <n v="4"/>
    <n v="167520"/>
  </r>
  <r>
    <x v="73"/>
    <x v="67"/>
    <x v="3"/>
    <x v="0"/>
    <n v="35220"/>
    <n v="1"/>
    <n v="35220"/>
  </r>
  <r>
    <x v="74"/>
    <x v="68"/>
    <x v="1"/>
    <x v="0"/>
    <n v="46647"/>
    <n v="4"/>
    <n v="186588"/>
  </r>
  <r>
    <x v="75"/>
    <x v="69"/>
    <x v="1"/>
    <x v="2"/>
    <n v="1746"/>
    <n v="9"/>
    <n v="15714"/>
  </r>
  <r>
    <x v="76"/>
    <x v="70"/>
    <x v="2"/>
    <x v="3"/>
    <n v="21420"/>
    <n v="10"/>
    <n v="214200"/>
  </r>
  <r>
    <x v="77"/>
    <x v="71"/>
    <x v="1"/>
    <x v="3"/>
    <n v="23669"/>
    <n v="3"/>
    <n v="71007"/>
  </r>
  <r>
    <x v="78"/>
    <x v="6"/>
    <x v="1"/>
    <x v="0"/>
    <n v="7265"/>
    <n v="7"/>
    <n v="50855"/>
  </r>
  <r>
    <x v="79"/>
    <x v="72"/>
    <x v="3"/>
    <x v="2"/>
    <n v="18148"/>
    <n v="1"/>
    <n v="18148"/>
  </r>
  <r>
    <x v="80"/>
    <x v="73"/>
    <x v="0"/>
    <x v="1"/>
    <n v="26278"/>
    <n v="10"/>
    <n v="262780"/>
  </r>
  <r>
    <x v="81"/>
    <x v="74"/>
    <x v="2"/>
    <x v="0"/>
    <n v="11137"/>
    <n v="4"/>
    <n v="44548"/>
  </r>
  <r>
    <x v="82"/>
    <x v="75"/>
    <x v="3"/>
    <x v="2"/>
    <n v="38261"/>
    <n v="7"/>
    <n v="267827"/>
  </r>
  <r>
    <x v="83"/>
    <x v="76"/>
    <x v="0"/>
    <x v="0"/>
    <n v="40620"/>
    <n v="3"/>
    <n v="121860"/>
  </r>
  <r>
    <x v="84"/>
    <x v="77"/>
    <x v="2"/>
    <x v="0"/>
    <n v="41419"/>
    <n v="5"/>
    <n v="207095"/>
  </r>
  <r>
    <x v="85"/>
    <x v="74"/>
    <x v="2"/>
    <x v="4"/>
    <n v="43048"/>
    <n v="4"/>
    <n v="172192"/>
  </r>
  <r>
    <x v="86"/>
    <x v="17"/>
    <x v="0"/>
    <x v="0"/>
    <n v="34534"/>
    <n v="1"/>
    <n v="34534"/>
  </r>
  <r>
    <x v="87"/>
    <x v="78"/>
    <x v="3"/>
    <x v="2"/>
    <n v="37688"/>
    <n v="3"/>
    <n v="113064"/>
  </r>
  <r>
    <x v="88"/>
    <x v="79"/>
    <x v="1"/>
    <x v="0"/>
    <n v="32232"/>
    <n v="4"/>
    <n v="128928"/>
  </r>
  <r>
    <x v="89"/>
    <x v="80"/>
    <x v="2"/>
    <x v="2"/>
    <n v="47515"/>
    <n v="7"/>
    <n v="332605"/>
  </r>
  <r>
    <x v="90"/>
    <x v="81"/>
    <x v="2"/>
    <x v="3"/>
    <n v="8338"/>
    <n v="4"/>
    <n v="33352"/>
  </r>
  <r>
    <x v="91"/>
    <x v="51"/>
    <x v="3"/>
    <x v="0"/>
    <n v="20915"/>
    <n v="8"/>
    <n v="167320"/>
  </r>
  <r>
    <x v="92"/>
    <x v="82"/>
    <x v="2"/>
    <x v="4"/>
    <n v="25327"/>
    <n v="2"/>
    <n v="50654"/>
  </r>
  <r>
    <x v="93"/>
    <x v="83"/>
    <x v="0"/>
    <x v="2"/>
    <n v="41364"/>
    <n v="3"/>
    <n v="124092"/>
  </r>
  <r>
    <x v="94"/>
    <x v="3"/>
    <x v="3"/>
    <x v="3"/>
    <n v="25404"/>
    <n v="10"/>
    <n v="254040"/>
  </r>
  <r>
    <x v="95"/>
    <x v="84"/>
    <x v="2"/>
    <x v="1"/>
    <n v="28070"/>
    <n v="9"/>
    <n v="252630"/>
  </r>
  <r>
    <x v="96"/>
    <x v="49"/>
    <x v="2"/>
    <x v="2"/>
    <n v="17312"/>
    <n v="7"/>
    <n v="121184"/>
  </r>
  <r>
    <x v="97"/>
    <x v="76"/>
    <x v="2"/>
    <x v="1"/>
    <n v="5208"/>
    <n v="6"/>
    <n v="31248"/>
  </r>
  <r>
    <x v="98"/>
    <x v="85"/>
    <x v="2"/>
    <x v="4"/>
    <n v="38733"/>
    <n v="9"/>
    <n v="348597"/>
  </r>
  <r>
    <x v="99"/>
    <x v="86"/>
    <x v="3"/>
    <x v="3"/>
    <n v="29539"/>
    <n v="4"/>
    <n v="118156"/>
  </r>
  <r>
    <x v="100"/>
    <x v="57"/>
    <x v="3"/>
    <x v="2"/>
    <n v="30407"/>
    <n v="10"/>
    <n v="304070"/>
  </r>
  <r>
    <x v="101"/>
    <x v="87"/>
    <x v="2"/>
    <x v="1"/>
    <n v="30200"/>
    <n v="8"/>
    <n v="241600"/>
  </r>
  <r>
    <x v="102"/>
    <x v="88"/>
    <x v="3"/>
    <x v="1"/>
    <n v="22727"/>
    <n v="3"/>
    <n v="68181"/>
  </r>
  <r>
    <x v="103"/>
    <x v="89"/>
    <x v="1"/>
    <x v="4"/>
    <n v="37264"/>
    <n v="1"/>
    <n v="37264"/>
  </r>
  <r>
    <x v="104"/>
    <x v="90"/>
    <x v="0"/>
    <x v="1"/>
    <n v="7628"/>
    <n v="10"/>
    <n v="76280"/>
  </r>
  <r>
    <x v="105"/>
    <x v="91"/>
    <x v="0"/>
    <x v="3"/>
    <n v="48296"/>
    <n v="5"/>
    <n v="241480"/>
  </r>
  <r>
    <x v="106"/>
    <x v="92"/>
    <x v="0"/>
    <x v="3"/>
    <n v="37781"/>
    <n v="9"/>
    <n v="340029"/>
  </r>
  <r>
    <x v="107"/>
    <x v="93"/>
    <x v="1"/>
    <x v="2"/>
    <n v="11741"/>
    <n v="3"/>
    <n v="35223"/>
  </r>
  <r>
    <x v="108"/>
    <x v="94"/>
    <x v="2"/>
    <x v="3"/>
    <n v="48395"/>
    <n v="9"/>
    <n v="435555"/>
  </r>
  <r>
    <x v="109"/>
    <x v="95"/>
    <x v="3"/>
    <x v="3"/>
    <n v="28557"/>
    <n v="1"/>
    <n v="28557"/>
  </r>
  <r>
    <x v="110"/>
    <x v="86"/>
    <x v="2"/>
    <x v="0"/>
    <n v="24287"/>
    <n v="5"/>
    <n v="121435"/>
  </r>
  <r>
    <x v="111"/>
    <x v="22"/>
    <x v="1"/>
    <x v="2"/>
    <n v="37734"/>
    <n v="2"/>
    <n v="75468"/>
  </r>
  <r>
    <x v="112"/>
    <x v="96"/>
    <x v="1"/>
    <x v="3"/>
    <n v="13043"/>
    <n v="10"/>
    <n v="130430"/>
  </r>
  <r>
    <x v="113"/>
    <x v="97"/>
    <x v="2"/>
    <x v="2"/>
    <n v="35918"/>
    <n v="2"/>
    <n v="71836"/>
  </r>
  <r>
    <x v="114"/>
    <x v="64"/>
    <x v="2"/>
    <x v="0"/>
    <n v="36558"/>
    <n v="7"/>
    <n v="255906"/>
  </r>
  <r>
    <x v="115"/>
    <x v="98"/>
    <x v="0"/>
    <x v="0"/>
    <n v="9988"/>
    <n v="1"/>
    <n v="9988"/>
  </r>
  <r>
    <x v="116"/>
    <x v="99"/>
    <x v="2"/>
    <x v="2"/>
    <n v="26116"/>
    <n v="7"/>
    <n v="182812"/>
  </r>
  <r>
    <x v="117"/>
    <x v="100"/>
    <x v="2"/>
    <x v="1"/>
    <n v="37257"/>
    <n v="2"/>
    <n v="74514"/>
  </r>
  <r>
    <x v="118"/>
    <x v="7"/>
    <x v="2"/>
    <x v="2"/>
    <n v="15220"/>
    <n v="1"/>
    <n v="15220"/>
  </r>
  <r>
    <x v="119"/>
    <x v="101"/>
    <x v="2"/>
    <x v="4"/>
    <n v="6333"/>
    <n v="5"/>
    <n v="31665"/>
  </r>
  <r>
    <x v="120"/>
    <x v="102"/>
    <x v="0"/>
    <x v="2"/>
    <n v="45440"/>
    <n v="1"/>
    <n v="45440"/>
  </r>
  <r>
    <x v="121"/>
    <x v="75"/>
    <x v="1"/>
    <x v="2"/>
    <n v="47513"/>
    <n v="6"/>
    <n v="285078"/>
  </r>
  <r>
    <x v="122"/>
    <x v="103"/>
    <x v="3"/>
    <x v="1"/>
    <n v="40492"/>
    <n v="8"/>
    <n v="323936"/>
  </r>
  <r>
    <x v="123"/>
    <x v="51"/>
    <x v="2"/>
    <x v="3"/>
    <n v="34056"/>
    <n v="8"/>
    <n v="272448"/>
  </r>
  <r>
    <x v="124"/>
    <x v="104"/>
    <x v="0"/>
    <x v="3"/>
    <n v="20743"/>
    <n v="4"/>
    <n v="82972"/>
  </r>
  <r>
    <x v="125"/>
    <x v="105"/>
    <x v="3"/>
    <x v="3"/>
    <n v="31260"/>
    <n v="7"/>
    <n v="218820"/>
  </r>
  <r>
    <x v="126"/>
    <x v="106"/>
    <x v="2"/>
    <x v="4"/>
    <n v="48465"/>
    <n v="7"/>
    <n v="339255"/>
  </r>
  <r>
    <x v="127"/>
    <x v="102"/>
    <x v="0"/>
    <x v="3"/>
    <n v="5290"/>
    <n v="7"/>
    <n v="37030"/>
  </r>
  <r>
    <x v="128"/>
    <x v="107"/>
    <x v="0"/>
    <x v="1"/>
    <n v="36365"/>
    <n v="8"/>
    <n v="290920"/>
  </r>
  <r>
    <x v="129"/>
    <x v="108"/>
    <x v="2"/>
    <x v="2"/>
    <n v="6186"/>
    <n v="9"/>
    <n v="55674"/>
  </r>
  <r>
    <x v="130"/>
    <x v="109"/>
    <x v="0"/>
    <x v="0"/>
    <n v="42593"/>
    <n v="2"/>
    <n v="85186"/>
  </r>
  <r>
    <x v="131"/>
    <x v="104"/>
    <x v="2"/>
    <x v="2"/>
    <n v="21102"/>
    <n v="9"/>
    <n v="189918"/>
  </r>
  <r>
    <x v="132"/>
    <x v="110"/>
    <x v="0"/>
    <x v="0"/>
    <n v="48138"/>
    <n v="9"/>
    <n v="433242"/>
  </r>
  <r>
    <x v="132"/>
    <x v="110"/>
    <x v="0"/>
    <x v="0"/>
    <n v="48138"/>
    <n v="9"/>
    <n v="433242"/>
  </r>
  <r>
    <x v="133"/>
    <x v="90"/>
    <x v="3"/>
    <x v="3"/>
    <n v="44113"/>
    <n v="5"/>
    <n v="220565"/>
  </r>
  <r>
    <x v="134"/>
    <x v="107"/>
    <x v="3"/>
    <x v="2"/>
    <n v="11664"/>
    <n v="2"/>
    <n v="23328"/>
  </r>
  <r>
    <x v="135"/>
    <x v="111"/>
    <x v="0"/>
    <x v="4"/>
    <n v="18198"/>
    <n v="3"/>
    <n v="54594"/>
  </r>
  <r>
    <x v="136"/>
    <x v="29"/>
    <x v="0"/>
    <x v="2"/>
    <n v="28583"/>
    <n v="9"/>
    <n v="257247"/>
  </r>
  <r>
    <x v="137"/>
    <x v="112"/>
    <x v="3"/>
    <x v="1"/>
    <n v="488"/>
    <n v="10"/>
    <n v="4880"/>
  </r>
  <r>
    <x v="138"/>
    <x v="113"/>
    <x v="0"/>
    <x v="4"/>
    <n v="21325"/>
    <n v="7"/>
    <n v="149275"/>
  </r>
  <r>
    <x v="139"/>
    <x v="114"/>
    <x v="3"/>
    <x v="0"/>
    <n v="34725"/>
    <n v="1"/>
    <n v="34725"/>
  </r>
  <r>
    <x v="140"/>
    <x v="35"/>
    <x v="2"/>
    <x v="2"/>
    <n v="21021"/>
    <n v="1"/>
    <n v="21021"/>
  </r>
  <r>
    <x v="141"/>
    <x v="81"/>
    <x v="3"/>
    <x v="1"/>
    <n v="3281"/>
    <n v="3"/>
    <n v="9843"/>
  </r>
  <r>
    <x v="142"/>
    <x v="115"/>
    <x v="0"/>
    <x v="1"/>
    <n v="21268"/>
    <n v="8"/>
    <n v="170144"/>
  </r>
  <r>
    <x v="143"/>
    <x v="116"/>
    <x v="1"/>
    <x v="0"/>
    <n v="39785"/>
    <n v="4"/>
    <n v="159140"/>
  </r>
  <r>
    <x v="144"/>
    <x v="117"/>
    <x v="3"/>
    <x v="1"/>
    <n v="22356"/>
    <n v="4"/>
    <n v="89424"/>
  </r>
  <r>
    <x v="145"/>
    <x v="118"/>
    <x v="1"/>
    <x v="2"/>
    <n v="29395"/>
    <n v="8"/>
    <n v="235160"/>
  </r>
  <r>
    <x v="146"/>
    <x v="4"/>
    <x v="1"/>
    <x v="1"/>
    <n v="46334"/>
    <n v="8"/>
    <n v="370672"/>
  </r>
  <r>
    <x v="147"/>
    <x v="119"/>
    <x v="1"/>
    <x v="1"/>
    <n v="18937"/>
    <n v="9"/>
    <n v="170433"/>
  </r>
  <r>
    <x v="148"/>
    <x v="120"/>
    <x v="1"/>
    <x v="2"/>
    <n v="9218"/>
    <n v="5"/>
    <n v="46090"/>
  </r>
  <r>
    <x v="149"/>
    <x v="121"/>
    <x v="1"/>
    <x v="2"/>
    <n v="17519"/>
    <n v="6"/>
    <n v="105114"/>
  </r>
  <r>
    <x v="150"/>
    <x v="40"/>
    <x v="0"/>
    <x v="4"/>
    <n v="9622"/>
    <n v="2"/>
    <n v="19244"/>
  </r>
  <r>
    <x v="151"/>
    <x v="63"/>
    <x v="2"/>
    <x v="1"/>
    <n v="7791"/>
    <n v="6"/>
    <n v="46746"/>
  </r>
  <r>
    <x v="152"/>
    <x v="122"/>
    <x v="1"/>
    <x v="0"/>
    <n v="9156"/>
    <n v="5"/>
    <n v="45780"/>
  </r>
  <r>
    <x v="153"/>
    <x v="123"/>
    <x v="0"/>
    <x v="3"/>
    <n v="4048"/>
    <n v="3"/>
    <n v="12144"/>
  </r>
  <r>
    <x v="154"/>
    <x v="92"/>
    <x v="0"/>
    <x v="0"/>
    <n v="11335"/>
    <n v="9"/>
    <n v="102015"/>
  </r>
  <r>
    <x v="155"/>
    <x v="124"/>
    <x v="2"/>
    <x v="2"/>
    <n v="22597"/>
    <n v="4"/>
    <n v="90388"/>
  </r>
  <r>
    <x v="156"/>
    <x v="125"/>
    <x v="1"/>
    <x v="3"/>
    <n v="22486"/>
    <n v="1"/>
    <n v="22486"/>
  </r>
  <r>
    <x v="157"/>
    <x v="113"/>
    <x v="2"/>
    <x v="0"/>
    <n v="34433"/>
    <n v="4"/>
    <n v="137732"/>
  </r>
  <r>
    <x v="158"/>
    <x v="126"/>
    <x v="2"/>
    <x v="4"/>
    <n v="17465"/>
    <n v="9"/>
    <n v="157185"/>
  </r>
  <r>
    <x v="159"/>
    <x v="127"/>
    <x v="0"/>
    <x v="1"/>
    <n v="29328"/>
    <n v="8"/>
    <n v="234624"/>
  </r>
  <r>
    <x v="160"/>
    <x v="128"/>
    <x v="1"/>
    <x v="4"/>
    <n v="21519"/>
    <n v="6"/>
    <n v="129114"/>
  </r>
  <r>
    <x v="161"/>
    <x v="84"/>
    <x v="2"/>
    <x v="4"/>
    <n v="34549"/>
    <n v="10"/>
    <n v="345490"/>
  </r>
  <r>
    <x v="162"/>
    <x v="129"/>
    <x v="2"/>
    <x v="2"/>
    <n v="45319"/>
    <n v="8"/>
    <n v="362552"/>
  </r>
  <r>
    <x v="163"/>
    <x v="130"/>
    <x v="0"/>
    <x v="4"/>
    <n v="18409"/>
    <n v="3"/>
    <n v="55227"/>
  </r>
  <r>
    <x v="164"/>
    <x v="131"/>
    <x v="3"/>
    <x v="2"/>
    <n v="8615"/>
    <n v="6"/>
    <n v="51690"/>
  </r>
  <r>
    <x v="165"/>
    <x v="49"/>
    <x v="2"/>
    <x v="0"/>
    <n v="28751"/>
    <n v="5"/>
    <n v="143755"/>
  </r>
  <r>
    <x v="166"/>
    <x v="132"/>
    <x v="2"/>
    <x v="3"/>
    <n v="49004"/>
    <n v="6"/>
    <n v="294024"/>
  </r>
  <r>
    <x v="167"/>
    <x v="133"/>
    <x v="3"/>
    <x v="3"/>
    <n v="15757"/>
    <n v="8"/>
    <n v="126056"/>
  </r>
  <r>
    <x v="168"/>
    <x v="134"/>
    <x v="0"/>
    <x v="3"/>
    <n v="2914"/>
    <n v="1"/>
    <n v="2914"/>
  </r>
  <r>
    <x v="169"/>
    <x v="24"/>
    <x v="0"/>
    <x v="1"/>
    <n v="36272"/>
    <n v="4"/>
    <n v="145088"/>
  </r>
  <r>
    <x v="170"/>
    <x v="123"/>
    <x v="3"/>
    <x v="3"/>
    <n v="26721"/>
    <n v="1"/>
    <n v="26721"/>
  </r>
  <r>
    <x v="171"/>
    <x v="68"/>
    <x v="0"/>
    <x v="3"/>
    <n v="17488"/>
    <n v="1"/>
    <n v="17488"/>
  </r>
  <r>
    <x v="172"/>
    <x v="31"/>
    <x v="0"/>
    <x v="4"/>
    <n v="17724"/>
    <n v="9"/>
    <n v="159516"/>
  </r>
  <r>
    <x v="173"/>
    <x v="135"/>
    <x v="1"/>
    <x v="2"/>
    <n v="45448"/>
    <n v="10"/>
    <n v="454480"/>
  </r>
  <r>
    <x v="174"/>
    <x v="136"/>
    <x v="2"/>
    <x v="2"/>
    <n v="16254"/>
    <n v="6"/>
    <n v="97524"/>
  </r>
  <r>
    <x v="175"/>
    <x v="137"/>
    <x v="0"/>
    <x v="4"/>
    <n v="31519"/>
    <n v="9"/>
    <n v="283671"/>
  </r>
  <r>
    <x v="176"/>
    <x v="138"/>
    <x v="1"/>
    <x v="4"/>
    <n v="12156"/>
    <n v="5"/>
    <n v="60780"/>
  </r>
  <r>
    <x v="177"/>
    <x v="139"/>
    <x v="3"/>
    <x v="3"/>
    <n v="30018"/>
    <n v="7"/>
    <n v="210126"/>
  </r>
  <r>
    <x v="178"/>
    <x v="140"/>
    <x v="1"/>
    <x v="2"/>
    <n v="26035"/>
    <n v="10"/>
    <n v="260350"/>
  </r>
  <r>
    <x v="179"/>
    <x v="64"/>
    <x v="2"/>
    <x v="2"/>
    <n v="2219"/>
    <n v="7"/>
    <n v="15533"/>
  </r>
  <r>
    <x v="180"/>
    <x v="141"/>
    <x v="0"/>
    <x v="0"/>
    <n v="20406"/>
    <n v="5"/>
    <n v="102030"/>
  </r>
  <r>
    <x v="181"/>
    <x v="141"/>
    <x v="0"/>
    <x v="0"/>
    <n v="43103"/>
    <n v="7"/>
    <n v="301721"/>
  </r>
  <r>
    <x v="182"/>
    <x v="142"/>
    <x v="3"/>
    <x v="3"/>
    <n v="9526"/>
    <n v="3"/>
    <n v="28578"/>
  </r>
  <r>
    <x v="183"/>
    <x v="59"/>
    <x v="3"/>
    <x v="4"/>
    <n v="30376"/>
    <n v="9"/>
    <n v="273384"/>
  </r>
  <r>
    <x v="184"/>
    <x v="66"/>
    <x v="3"/>
    <x v="1"/>
    <n v="43180"/>
    <n v="7"/>
    <n v="302260"/>
  </r>
  <r>
    <x v="185"/>
    <x v="143"/>
    <x v="3"/>
    <x v="3"/>
    <n v="35013"/>
    <n v="5"/>
    <n v="175065"/>
  </r>
  <r>
    <x v="185"/>
    <x v="143"/>
    <x v="3"/>
    <x v="3"/>
    <n v="35013"/>
    <n v="5"/>
    <n v="175065"/>
  </r>
  <r>
    <x v="186"/>
    <x v="114"/>
    <x v="1"/>
    <x v="4"/>
    <n v="47407"/>
    <n v="7"/>
    <n v="331849"/>
  </r>
  <r>
    <x v="187"/>
    <x v="144"/>
    <x v="1"/>
    <x v="2"/>
    <n v="49106"/>
    <n v="10"/>
    <n v="491060"/>
  </r>
  <r>
    <x v="188"/>
    <x v="145"/>
    <x v="0"/>
    <x v="2"/>
    <n v="44056"/>
    <n v="6"/>
    <n v="264336"/>
  </r>
  <r>
    <x v="189"/>
    <x v="104"/>
    <x v="0"/>
    <x v="1"/>
    <n v="37549"/>
    <n v="8"/>
    <n v="300392"/>
  </r>
  <r>
    <x v="190"/>
    <x v="146"/>
    <x v="0"/>
    <x v="4"/>
    <n v="18065"/>
    <n v="7"/>
    <n v="126455"/>
  </r>
  <r>
    <x v="191"/>
    <x v="119"/>
    <x v="1"/>
    <x v="1"/>
    <n v="10445"/>
    <n v="7"/>
    <n v="73115"/>
  </r>
  <r>
    <x v="192"/>
    <x v="86"/>
    <x v="1"/>
    <x v="1"/>
    <n v="47093"/>
    <n v="4"/>
    <n v="188372"/>
  </r>
  <r>
    <x v="193"/>
    <x v="89"/>
    <x v="1"/>
    <x v="4"/>
    <n v="30164"/>
    <n v="4"/>
    <n v="120656"/>
  </r>
  <r>
    <x v="194"/>
    <x v="34"/>
    <x v="0"/>
    <x v="2"/>
    <n v="36502"/>
    <n v="5"/>
    <n v="182510"/>
  </r>
  <r>
    <x v="195"/>
    <x v="101"/>
    <x v="1"/>
    <x v="3"/>
    <n v="11519"/>
    <n v="8"/>
    <n v="92152"/>
  </r>
  <r>
    <x v="196"/>
    <x v="147"/>
    <x v="3"/>
    <x v="0"/>
    <n v="17071"/>
    <n v="9"/>
    <n v="153639"/>
  </r>
  <r>
    <x v="197"/>
    <x v="148"/>
    <x v="0"/>
    <x v="2"/>
    <n v="20395"/>
    <n v="3"/>
    <n v="61185"/>
  </r>
  <r>
    <x v="198"/>
    <x v="149"/>
    <x v="2"/>
    <x v="3"/>
    <n v="23757"/>
    <n v="7"/>
    <n v="166299"/>
  </r>
  <r>
    <x v="199"/>
    <x v="91"/>
    <x v="3"/>
    <x v="3"/>
    <n v="37985"/>
    <n v="5"/>
    <n v="189925"/>
  </r>
  <r>
    <x v="200"/>
    <x v="150"/>
    <x v="1"/>
    <x v="4"/>
    <n v="929"/>
    <n v="2"/>
    <n v="1858"/>
  </r>
  <r>
    <x v="201"/>
    <x v="151"/>
    <x v="3"/>
    <x v="1"/>
    <n v="4018"/>
    <n v="7"/>
    <n v="28126"/>
  </r>
  <r>
    <x v="202"/>
    <x v="45"/>
    <x v="3"/>
    <x v="0"/>
    <n v="19506"/>
    <n v="7"/>
    <n v="136542"/>
  </r>
  <r>
    <x v="203"/>
    <x v="152"/>
    <x v="1"/>
    <x v="0"/>
    <n v="17090"/>
    <n v="1"/>
    <n v="17090"/>
  </r>
  <r>
    <x v="204"/>
    <x v="153"/>
    <x v="2"/>
    <x v="4"/>
    <n v="22721"/>
    <n v="9"/>
    <n v="204489"/>
  </r>
  <r>
    <x v="205"/>
    <x v="72"/>
    <x v="0"/>
    <x v="2"/>
    <n v="24066"/>
    <n v="6"/>
    <n v="144396"/>
  </r>
  <r>
    <x v="206"/>
    <x v="154"/>
    <x v="1"/>
    <x v="2"/>
    <n v="21854"/>
    <n v="6"/>
    <n v="131124"/>
  </r>
  <r>
    <x v="207"/>
    <x v="155"/>
    <x v="2"/>
    <x v="3"/>
    <n v="12552"/>
    <n v="8"/>
    <n v="100416"/>
  </r>
  <r>
    <x v="208"/>
    <x v="132"/>
    <x v="2"/>
    <x v="4"/>
    <n v="47164"/>
    <n v="3"/>
    <n v="141492"/>
  </r>
  <r>
    <x v="209"/>
    <x v="26"/>
    <x v="3"/>
    <x v="1"/>
    <n v="33857"/>
    <n v="4"/>
    <n v="135428"/>
  </r>
  <r>
    <x v="210"/>
    <x v="156"/>
    <x v="0"/>
    <x v="2"/>
    <n v="41732"/>
    <n v="1"/>
    <n v="41732"/>
  </r>
  <r>
    <x v="211"/>
    <x v="157"/>
    <x v="3"/>
    <x v="1"/>
    <n v="44043"/>
    <n v="10"/>
    <n v="440430"/>
  </r>
  <r>
    <x v="212"/>
    <x v="158"/>
    <x v="2"/>
    <x v="2"/>
    <n v="11641"/>
    <n v="7"/>
    <n v="81487"/>
  </r>
  <r>
    <x v="213"/>
    <x v="159"/>
    <x v="2"/>
    <x v="0"/>
    <n v="43481"/>
    <n v="5"/>
    <n v="217405"/>
  </r>
  <r>
    <x v="214"/>
    <x v="139"/>
    <x v="3"/>
    <x v="4"/>
    <n v="9173"/>
    <n v="7"/>
    <n v="64211"/>
  </r>
  <r>
    <x v="215"/>
    <x v="107"/>
    <x v="1"/>
    <x v="4"/>
    <n v="24939"/>
    <n v="5"/>
    <n v="124695"/>
  </r>
  <r>
    <x v="216"/>
    <x v="160"/>
    <x v="2"/>
    <x v="3"/>
    <n v="2101"/>
    <n v="8"/>
    <n v="16808"/>
  </r>
  <r>
    <x v="217"/>
    <x v="161"/>
    <x v="2"/>
    <x v="0"/>
    <n v="27461"/>
    <n v="4"/>
    <n v="109844"/>
  </r>
  <r>
    <x v="218"/>
    <x v="162"/>
    <x v="0"/>
    <x v="3"/>
    <n v="49619"/>
    <n v="4"/>
    <n v="198476"/>
  </r>
  <r>
    <x v="219"/>
    <x v="163"/>
    <x v="0"/>
    <x v="2"/>
    <n v="9820"/>
    <n v="6"/>
    <n v="58920"/>
  </r>
  <r>
    <x v="220"/>
    <x v="164"/>
    <x v="0"/>
    <x v="1"/>
    <n v="46514"/>
    <n v="7"/>
    <n v="325598"/>
  </r>
  <r>
    <x v="221"/>
    <x v="165"/>
    <x v="0"/>
    <x v="2"/>
    <n v="21798"/>
    <n v="4"/>
    <n v="87192"/>
  </r>
  <r>
    <x v="222"/>
    <x v="33"/>
    <x v="0"/>
    <x v="1"/>
    <n v="29828"/>
    <n v="6"/>
    <n v="178968"/>
  </r>
  <r>
    <x v="223"/>
    <x v="166"/>
    <x v="2"/>
    <x v="2"/>
    <n v="42652"/>
    <n v="5"/>
    <n v="213260"/>
  </r>
  <r>
    <x v="224"/>
    <x v="167"/>
    <x v="3"/>
    <x v="4"/>
    <n v="38611"/>
    <n v="4"/>
    <n v="154444"/>
  </r>
  <r>
    <x v="225"/>
    <x v="168"/>
    <x v="0"/>
    <x v="2"/>
    <n v="39099"/>
    <n v="5"/>
    <n v="195495"/>
  </r>
  <r>
    <x v="226"/>
    <x v="169"/>
    <x v="1"/>
    <x v="3"/>
    <n v="16357"/>
    <n v="7"/>
    <n v="114499"/>
  </r>
  <r>
    <x v="227"/>
    <x v="101"/>
    <x v="0"/>
    <x v="4"/>
    <n v="39446"/>
    <n v="9"/>
    <n v="355014"/>
  </r>
  <r>
    <x v="228"/>
    <x v="20"/>
    <x v="0"/>
    <x v="2"/>
    <n v="18249"/>
    <n v="7"/>
    <n v="127743"/>
  </r>
  <r>
    <x v="229"/>
    <x v="63"/>
    <x v="1"/>
    <x v="0"/>
    <n v="27436"/>
    <n v="6"/>
    <n v="164616"/>
  </r>
  <r>
    <x v="230"/>
    <x v="170"/>
    <x v="0"/>
    <x v="4"/>
    <n v="37058"/>
    <n v="9"/>
    <n v="333522"/>
  </r>
  <r>
    <x v="231"/>
    <x v="87"/>
    <x v="1"/>
    <x v="1"/>
    <n v="1480"/>
    <n v="2"/>
    <n v="2960"/>
  </r>
  <r>
    <x v="232"/>
    <x v="171"/>
    <x v="0"/>
    <x v="3"/>
    <n v="4609"/>
    <n v="6"/>
    <n v="27654"/>
  </r>
  <r>
    <x v="233"/>
    <x v="39"/>
    <x v="3"/>
    <x v="3"/>
    <n v="25536"/>
    <n v="8"/>
    <n v="204288"/>
  </r>
  <r>
    <x v="234"/>
    <x v="73"/>
    <x v="2"/>
    <x v="2"/>
    <n v="1163"/>
    <n v="4"/>
    <n v="4652"/>
  </r>
  <r>
    <x v="235"/>
    <x v="172"/>
    <x v="0"/>
    <x v="2"/>
    <n v="48746"/>
    <n v="10"/>
    <n v="487460"/>
  </r>
  <r>
    <x v="236"/>
    <x v="124"/>
    <x v="3"/>
    <x v="1"/>
    <n v="45431"/>
    <n v="3"/>
    <n v="136293"/>
  </r>
  <r>
    <x v="237"/>
    <x v="142"/>
    <x v="1"/>
    <x v="4"/>
    <n v="45193"/>
    <n v="5"/>
    <n v="225965"/>
  </r>
  <r>
    <x v="238"/>
    <x v="2"/>
    <x v="1"/>
    <x v="1"/>
    <n v="33525"/>
    <n v="6"/>
    <n v="201150"/>
  </r>
  <r>
    <x v="239"/>
    <x v="173"/>
    <x v="2"/>
    <x v="4"/>
    <n v="43606"/>
    <n v="8"/>
    <n v="348848"/>
  </r>
  <r>
    <x v="240"/>
    <x v="11"/>
    <x v="1"/>
    <x v="0"/>
    <n v="18370"/>
    <n v="7"/>
    <n v="128590"/>
  </r>
  <r>
    <x v="241"/>
    <x v="174"/>
    <x v="0"/>
    <x v="4"/>
    <n v="3600"/>
    <n v="9"/>
    <n v="32400"/>
  </r>
  <r>
    <x v="242"/>
    <x v="175"/>
    <x v="1"/>
    <x v="2"/>
    <n v="32717"/>
    <n v="8"/>
    <n v="261736"/>
  </r>
  <r>
    <x v="243"/>
    <x v="176"/>
    <x v="3"/>
    <x v="4"/>
    <n v="18575"/>
    <n v="1"/>
    <n v="18575"/>
  </r>
  <r>
    <x v="244"/>
    <x v="177"/>
    <x v="1"/>
    <x v="2"/>
    <n v="27864"/>
    <n v="8"/>
    <n v="222912"/>
  </r>
  <r>
    <x v="245"/>
    <x v="31"/>
    <x v="0"/>
    <x v="4"/>
    <n v="27403"/>
    <n v="9"/>
    <n v="246627"/>
  </r>
  <r>
    <x v="246"/>
    <x v="73"/>
    <x v="0"/>
    <x v="0"/>
    <n v="7569"/>
    <n v="3"/>
    <n v="22707"/>
  </r>
  <r>
    <x v="247"/>
    <x v="110"/>
    <x v="0"/>
    <x v="1"/>
    <n v="5171"/>
    <n v="2"/>
    <n v="10342"/>
  </r>
  <r>
    <x v="248"/>
    <x v="26"/>
    <x v="1"/>
    <x v="4"/>
    <n v="42320"/>
    <n v="7"/>
    <n v="296240"/>
  </r>
  <r>
    <x v="249"/>
    <x v="97"/>
    <x v="1"/>
    <x v="2"/>
    <n v="9077"/>
    <n v="4"/>
    <n v="36308"/>
  </r>
  <r>
    <x v="250"/>
    <x v="178"/>
    <x v="0"/>
    <x v="0"/>
    <n v="35912"/>
    <n v="8"/>
    <n v="287296"/>
  </r>
  <r>
    <x v="251"/>
    <x v="3"/>
    <x v="0"/>
    <x v="3"/>
    <n v="33568"/>
    <n v="9"/>
    <n v="302112"/>
  </r>
  <r>
    <x v="251"/>
    <x v="3"/>
    <x v="0"/>
    <x v="3"/>
    <n v="33568"/>
    <n v="9"/>
    <n v="302112"/>
  </r>
  <r>
    <x v="252"/>
    <x v="179"/>
    <x v="0"/>
    <x v="4"/>
    <n v="44158"/>
    <n v="7"/>
    <n v="309106"/>
  </r>
  <r>
    <x v="253"/>
    <x v="180"/>
    <x v="2"/>
    <x v="4"/>
    <n v="32467"/>
    <n v="9"/>
    <n v="292203"/>
  </r>
  <r>
    <x v="254"/>
    <x v="111"/>
    <x v="3"/>
    <x v="1"/>
    <n v="12418"/>
    <n v="9"/>
    <n v="111762"/>
  </r>
  <r>
    <x v="255"/>
    <x v="181"/>
    <x v="3"/>
    <x v="1"/>
    <n v="30563"/>
    <n v="6"/>
    <n v="183378"/>
  </r>
  <r>
    <x v="256"/>
    <x v="66"/>
    <x v="2"/>
    <x v="2"/>
    <n v="11764"/>
    <n v="6"/>
    <n v="70584"/>
  </r>
  <r>
    <x v="257"/>
    <x v="145"/>
    <x v="2"/>
    <x v="1"/>
    <n v="1225"/>
    <n v="9"/>
    <n v="11025"/>
  </r>
  <r>
    <x v="258"/>
    <x v="150"/>
    <x v="1"/>
    <x v="2"/>
    <n v="38136"/>
    <n v="8"/>
    <n v="305088"/>
  </r>
  <r>
    <x v="259"/>
    <x v="182"/>
    <x v="3"/>
    <x v="0"/>
    <n v="32299"/>
    <n v="9"/>
    <n v="290691"/>
  </r>
  <r>
    <x v="260"/>
    <x v="86"/>
    <x v="0"/>
    <x v="4"/>
    <n v="33397"/>
    <n v="2"/>
    <n v="66794"/>
  </r>
  <r>
    <x v="261"/>
    <x v="47"/>
    <x v="1"/>
    <x v="2"/>
    <n v="14771"/>
    <n v="7"/>
    <n v="103397"/>
  </r>
  <r>
    <x v="262"/>
    <x v="183"/>
    <x v="2"/>
    <x v="1"/>
    <n v="47509"/>
    <n v="4"/>
    <n v="190036"/>
  </r>
  <r>
    <x v="263"/>
    <x v="184"/>
    <x v="0"/>
    <x v="2"/>
    <n v="14692"/>
    <n v="4"/>
    <n v="58768"/>
  </r>
  <r>
    <x v="264"/>
    <x v="151"/>
    <x v="0"/>
    <x v="0"/>
    <n v="40992"/>
    <n v="2"/>
    <n v="81984"/>
  </r>
  <r>
    <x v="265"/>
    <x v="79"/>
    <x v="1"/>
    <x v="4"/>
    <n v="33421"/>
    <n v="2"/>
    <n v="66842"/>
  </r>
  <r>
    <x v="266"/>
    <x v="97"/>
    <x v="0"/>
    <x v="4"/>
    <n v="17852"/>
    <n v="10"/>
    <n v="178520"/>
  </r>
  <r>
    <x v="267"/>
    <x v="185"/>
    <x v="3"/>
    <x v="4"/>
    <n v="2641"/>
    <n v="6"/>
    <n v="15846"/>
  </r>
  <r>
    <x v="268"/>
    <x v="186"/>
    <x v="2"/>
    <x v="1"/>
    <n v="34034"/>
    <n v="8"/>
    <n v="272272"/>
  </r>
  <r>
    <x v="269"/>
    <x v="187"/>
    <x v="0"/>
    <x v="1"/>
    <n v="29826"/>
    <n v="2"/>
    <n v="59652"/>
  </r>
  <r>
    <x v="270"/>
    <x v="137"/>
    <x v="0"/>
    <x v="0"/>
    <n v="10671"/>
    <n v="8"/>
    <n v="85368"/>
  </r>
  <r>
    <x v="271"/>
    <x v="78"/>
    <x v="1"/>
    <x v="2"/>
    <n v="31987"/>
    <n v="3"/>
    <n v="95961"/>
  </r>
  <r>
    <x v="272"/>
    <x v="168"/>
    <x v="0"/>
    <x v="0"/>
    <n v="46439"/>
    <n v="5"/>
    <n v="232195"/>
  </r>
  <r>
    <x v="273"/>
    <x v="188"/>
    <x v="1"/>
    <x v="4"/>
    <n v="42268"/>
    <n v="8"/>
    <n v="338144"/>
  </r>
  <r>
    <x v="274"/>
    <x v="76"/>
    <x v="1"/>
    <x v="3"/>
    <n v="42608"/>
    <n v="9"/>
    <n v="383472"/>
  </r>
  <r>
    <x v="275"/>
    <x v="189"/>
    <x v="3"/>
    <x v="3"/>
    <n v="9549"/>
    <n v="5"/>
    <n v="47745"/>
  </r>
  <r>
    <x v="276"/>
    <x v="145"/>
    <x v="0"/>
    <x v="3"/>
    <n v="25697"/>
    <n v="7"/>
    <n v="179879"/>
  </r>
  <r>
    <x v="277"/>
    <x v="190"/>
    <x v="0"/>
    <x v="3"/>
    <n v="24304"/>
    <n v="2"/>
    <n v="48608"/>
  </r>
  <r>
    <x v="278"/>
    <x v="191"/>
    <x v="3"/>
    <x v="2"/>
    <n v="49881"/>
    <n v="5"/>
    <n v="249405"/>
  </r>
  <r>
    <x v="279"/>
    <x v="192"/>
    <x v="1"/>
    <x v="0"/>
    <n v="44280"/>
    <n v="8"/>
    <n v="354240"/>
  </r>
  <r>
    <x v="280"/>
    <x v="193"/>
    <x v="3"/>
    <x v="3"/>
    <n v="12772"/>
    <n v="8"/>
    <n v="102176"/>
  </r>
  <r>
    <x v="281"/>
    <x v="194"/>
    <x v="2"/>
    <x v="4"/>
    <n v="34282"/>
    <n v="2"/>
    <n v="68564"/>
  </r>
  <r>
    <x v="282"/>
    <x v="154"/>
    <x v="2"/>
    <x v="0"/>
    <n v="44824"/>
    <n v="1"/>
    <n v="44824"/>
  </r>
  <r>
    <x v="283"/>
    <x v="195"/>
    <x v="3"/>
    <x v="2"/>
    <n v="16322"/>
    <n v="8"/>
    <n v="130576"/>
  </r>
  <r>
    <x v="284"/>
    <x v="144"/>
    <x v="0"/>
    <x v="1"/>
    <n v="42091"/>
    <n v="6"/>
    <n v="252546"/>
  </r>
  <r>
    <x v="285"/>
    <x v="99"/>
    <x v="2"/>
    <x v="0"/>
    <n v="42980"/>
    <n v="5"/>
    <n v="214900"/>
  </r>
  <r>
    <x v="286"/>
    <x v="166"/>
    <x v="3"/>
    <x v="2"/>
    <n v="19403"/>
    <n v="2"/>
    <n v="38806"/>
  </r>
  <r>
    <x v="287"/>
    <x v="196"/>
    <x v="1"/>
    <x v="1"/>
    <n v="36110"/>
    <n v="3"/>
    <n v="108330"/>
  </r>
  <r>
    <x v="288"/>
    <x v="197"/>
    <x v="0"/>
    <x v="4"/>
    <n v="4207"/>
    <n v="4"/>
    <n v="16828"/>
  </r>
  <r>
    <x v="289"/>
    <x v="52"/>
    <x v="0"/>
    <x v="4"/>
    <n v="4484"/>
    <n v="7"/>
    <n v="31388"/>
  </r>
  <r>
    <x v="290"/>
    <x v="198"/>
    <x v="1"/>
    <x v="0"/>
    <n v="34834"/>
    <n v="6"/>
    <n v="209004"/>
  </r>
  <r>
    <x v="291"/>
    <x v="56"/>
    <x v="1"/>
    <x v="3"/>
    <n v="27059"/>
    <n v="1"/>
    <n v="27059"/>
  </r>
  <r>
    <x v="292"/>
    <x v="107"/>
    <x v="0"/>
    <x v="3"/>
    <n v="16227"/>
    <n v="1"/>
    <n v="16227"/>
  </r>
  <r>
    <x v="293"/>
    <x v="142"/>
    <x v="1"/>
    <x v="4"/>
    <n v="33717"/>
    <n v="3"/>
    <n v="101151"/>
  </r>
  <r>
    <x v="294"/>
    <x v="137"/>
    <x v="0"/>
    <x v="3"/>
    <n v="48424"/>
    <n v="8"/>
    <n v="387392"/>
  </r>
  <r>
    <x v="295"/>
    <x v="199"/>
    <x v="1"/>
    <x v="0"/>
    <n v="45072"/>
    <n v="9"/>
    <n v="405648"/>
  </r>
  <r>
    <x v="296"/>
    <x v="171"/>
    <x v="2"/>
    <x v="0"/>
    <n v="13055"/>
    <n v="7"/>
    <n v="91385"/>
  </r>
  <r>
    <x v="297"/>
    <x v="191"/>
    <x v="3"/>
    <x v="1"/>
    <n v="9516"/>
    <n v="8"/>
    <n v="76128"/>
  </r>
  <r>
    <x v="298"/>
    <x v="200"/>
    <x v="3"/>
    <x v="3"/>
    <n v="42974"/>
    <n v="4"/>
    <n v="171896"/>
  </r>
  <r>
    <x v="299"/>
    <x v="201"/>
    <x v="0"/>
    <x v="4"/>
    <n v="12441"/>
    <n v="6"/>
    <n v="74646"/>
  </r>
  <r>
    <x v="300"/>
    <x v="23"/>
    <x v="3"/>
    <x v="1"/>
    <n v="2213"/>
    <n v="8"/>
    <n v="17704"/>
  </r>
  <r>
    <x v="301"/>
    <x v="202"/>
    <x v="2"/>
    <x v="3"/>
    <n v="22853"/>
    <n v="10"/>
    <n v="228530"/>
  </r>
  <r>
    <x v="302"/>
    <x v="75"/>
    <x v="1"/>
    <x v="4"/>
    <n v="17384"/>
    <n v="5"/>
    <n v="86920"/>
  </r>
  <r>
    <x v="303"/>
    <x v="95"/>
    <x v="0"/>
    <x v="3"/>
    <n v="41940"/>
    <n v="10"/>
    <n v="419400"/>
  </r>
  <r>
    <x v="304"/>
    <x v="32"/>
    <x v="1"/>
    <x v="2"/>
    <n v="14145"/>
    <n v="6"/>
    <n v="84870"/>
  </r>
  <r>
    <x v="305"/>
    <x v="70"/>
    <x v="3"/>
    <x v="3"/>
    <n v="40160"/>
    <n v="7"/>
    <n v="281120"/>
  </r>
  <r>
    <x v="306"/>
    <x v="203"/>
    <x v="1"/>
    <x v="4"/>
    <n v="31748"/>
    <n v="6"/>
    <n v="190488"/>
  </r>
  <r>
    <x v="307"/>
    <x v="48"/>
    <x v="2"/>
    <x v="4"/>
    <n v="33061"/>
    <n v="9"/>
    <n v="297549"/>
  </r>
  <r>
    <x v="308"/>
    <x v="50"/>
    <x v="3"/>
    <x v="4"/>
    <n v="10940"/>
    <n v="4"/>
    <n v="43760"/>
  </r>
  <r>
    <x v="309"/>
    <x v="204"/>
    <x v="3"/>
    <x v="0"/>
    <n v="13349"/>
    <n v="2"/>
    <n v="26698"/>
  </r>
  <r>
    <x v="310"/>
    <x v="205"/>
    <x v="0"/>
    <x v="1"/>
    <n v="3543"/>
    <n v="5"/>
    <n v="17715"/>
  </r>
  <r>
    <x v="311"/>
    <x v="95"/>
    <x v="2"/>
    <x v="4"/>
    <n v="21432"/>
    <n v="5"/>
    <n v="107160"/>
  </r>
  <r>
    <x v="312"/>
    <x v="206"/>
    <x v="3"/>
    <x v="4"/>
    <n v="27652"/>
    <n v="4"/>
    <n v="110608"/>
  </r>
  <r>
    <x v="313"/>
    <x v="31"/>
    <x v="3"/>
    <x v="1"/>
    <n v="12848"/>
    <n v="10"/>
    <n v="128480"/>
  </r>
  <r>
    <x v="314"/>
    <x v="18"/>
    <x v="3"/>
    <x v="4"/>
    <n v="29841"/>
    <n v="2"/>
    <n v="59682"/>
  </r>
  <r>
    <x v="315"/>
    <x v="207"/>
    <x v="1"/>
    <x v="1"/>
    <n v="36672"/>
    <n v="5"/>
    <n v="183360"/>
  </r>
  <r>
    <x v="316"/>
    <x v="208"/>
    <x v="3"/>
    <x v="4"/>
    <n v="4274"/>
    <n v="1"/>
    <n v="4274"/>
  </r>
  <r>
    <x v="317"/>
    <x v="125"/>
    <x v="1"/>
    <x v="0"/>
    <n v="48700"/>
    <n v="10"/>
    <n v="487000"/>
  </r>
  <r>
    <x v="318"/>
    <x v="202"/>
    <x v="2"/>
    <x v="0"/>
    <n v="24772"/>
    <n v="8"/>
    <n v="198176"/>
  </r>
  <r>
    <x v="319"/>
    <x v="61"/>
    <x v="2"/>
    <x v="3"/>
    <n v="12348"/>
    <n v="10"/>
    <n v="123480"/>
  </r>
  <r>
    <x v="320"/>
    <x v="156"/>
    <x v="0"/>
    <x v="2"/>
    <n v="27381"/>
    <n v="5"/>
    <n v="136905"/>
  </r>
  <r>
    <x v="321"/>
    <x v="19"/>
    <x v="3"/>
    <x v="3"/>
    <n v="39082"/>
    <n v="2"/>
    <n v="78164"/>
  </r>
  <r>
    <x v="322"/>
    <x v="209"/>
    <x v="3"/>
    <x v="3"/>
    <n v="12413"/>
    <n v="8"/>
    <n v="99304"/>
  </r>
  <r>
    <x v="323"/>
    <x v="147"/>
    <x v="3"/>
    <x v="1"/>
    <n v="7954"/>
    <n v="3"/>
    <n v="23862"/>
  </r>
  <r>
    <x v="324"/>
    <x v="93"/>
    <x v="1"/>
    <x v="0"/>
    <n v="6475"/>
    <n v="3"/>
    <n v="19425"/>
  </r>
  <r>
    <x v="325"/>
    <x v="210"/>
    <x v="2"/>
    <x v="4"/>
    <n v="28034"/>
    <n v="7"/>
    <n v="196238"/>
  </r>
  <r>
    <x v="326"/>
    <x v="84"/>
    <x v="1"/>
    <x v="3"/>
    <n v="45645"/>
    <n v="2"/>
    <n v="91290"/>
  </r>
  <r>
    <x v="327"/>
    <x v="89"/>
    <x v="0"/>
    <x v="3"/>
    <n v="7105"/>
    <n v="6"/>
    <n v="42630"/>
  </r>
  <r>
    <x v="328"/>
    <x v="94"/>
    <x v="2"/>
    <x v="4"/>
    <n v="34588"/>
    <n v="3"/>
    <n v="103764"/>
  </r>
  <r>
    <x v="329"/>
    <x v="46"/>
    <x v="3"/>
    <x v="0"/>
    <n v="20510"/>
    <n v="5"/>
    <n v="102550"/>
  </r>
  <r>
    <x v="330"/>
    <x v="135"/>
    <x v="0"/>
    <x v="1"/>
    <n v="44496"/>
    <n v="1"/>
    <n v="44496"/>
  </r>
  <r>
    <x v="331"/>
    <x v="211"/>
    <x v="2"/>
    <x v="2"/>
    <n v="17689"/>
    <n v="9"/>
    <n v="159201"/>
  </r>
  <r>
    <x v="332"/>
    <x v="112"/>
    <x v="1"/>
    <x v="2"/>
    <n v="34885"/>
    <n v="7"/>
    <n v="244195"/>
  </r>
  <r>
    <x v="333"/>
    <x v="209"/>
    <x v="3"/>
    <x v="4"/>
    <n v="36538"/>
    <n v="7"/>
    <n v="255766"/>
  </r>
  <r>
    <x v="334"/>
    <x v="212"/>
    <x v="2"/>
    <x v="1"/>
    <n v="3475"/>
    <n v="10"/>
    <n v="34750"/>
  </r>
  <r>
    <x v="335"/>
    <x v="5"/>
    <x v="3"/>
    <x v="4"/>
    <n v="30484"/>
    <n v="5"/>
    <n v="152420"/>
  </r>
  <r>
    <x v="336"/>
    <x v="213"/>
    <x v="1"/>
    <x v="4"/>
    <n v="36690"/>
    <n v="1"/>
    <n v="36690"/>
  </r>
  <r>
    <x v="337"/>
    <x v="214"/>
    <x v="0"/>
    <x v="1"/>
    <n v="47091"/>
    <n v="4"/>
    <n v="188364"/>
  </r>
  <r>
    <x v="338"/>
    <x v="215"/>
    <x v="0"/>
    <x v="2"/>
    <n v="42981"/>
    <n v="10"/>
    <n v="429810"/>
  </r>
  <r>
    <x v="339"/>
    <x v="174"/>
    <x v="0"/>
    <x v="4"/>
    <n v="26032"/>
    <n v="5"/>
    <n v="130160"/>
  </r>
  <r>
    <x v="340"/>
    <x v="128"/>
    <x v="0"/>
    <x v="1"/>
    <n v="27555"/>
    <n v="5"/>
    <n v="137775"/>
  </r>
  <r>
    <x v="341"/>
    <x v="204"/>
    <x v="2"/>
    <x v="3"/>
    <n v="8624"/>
    <n v="4"/>
    <n v="34496"/>
  </r>
  <r>
    <x v="342"/>
    <x v="216"/>
    <x v="3"/>
    <x v="4"/>
    <n v="9503"/>
    <n v="7"/>
    <n v="66521"/>
  </r>
  <r>
    <x v="343"/>
    <x v="217"/>
    <x v="1"/>
    <x v="3"/>
    <n v="25533"/>
    <n v="3"/>
    <n v="76599"/>
  </r>
  <r>
    <x v="344"/>
    <x v="218"/>
    <x v="1"/>
    <x v="3"/>
    <n v="44005"/>
    <n v="7"/>
    <n v="308035"/>
  </r>
  <r>
    <x v="345"/>
    <x v="93"/>
    <x v="3"/>
    <x v="0"/>
    <n v="45362"/>
    <n v="3"/>
    <n v="136086"/>
  </r>
  <r>
    <x v="346"/>
    <x v="219"/>
    <x v="2"/>
    <x v="1"/>
    <n v="48246"/>
    <n v="1"/>
    <n v="48246"/>
  </r>
  <r>
    <x v="347"/>
    <x v="83"/>
    <x v="3"/>
    <x v="2"/>
    <n v="29033"/>
    <n v="8"/>
    <n v="232264"/>
  </r>
  <r>
    <x v="348"/>
    <x v="220"/>
    <x v="0"/>
    <x v="1"/>
    <n v="29640"/>
    <n v="9"/>
    <n v="266760"/>
  </r>
  <r>
    <x v="349"/>
    <x v="61"/>
    <x v="2"/>
    <x v="0"/>
    <n v="32868"/>
    <n v="8"/>
    <n v="262944"/>
  </r>
  <r>
    <x v="350"/>
    <x v="78"/>
    <x v="2"/>
    <x v="2"/>
    <n v="17845"/>
    <n v="5"/>
    <n v="89225"/>
  </r>
  <r>
    <x v="351"/>
    <x v="42"/>
    <x v="2"/>
    <x v="3"/>
    <n v="11689"/>
    <n v="8"/>
    <n v="93512"/>
  </r>
  <r>
    <x v="352"/>
    <x v="141"/>
    <x v="2"/>
    <x v="4"/>
    <n v="37591"/>
    <n v="6"/>
    <n v="225546"/>
  </r>
  <r>
    <x v="353"/>
    <x v="221"/>
    <x v="0"/>
    <x v="0"/>
    <n v="30915"/>
    <n v="5"/>
    <n v="154575"/>
  </r>
  <r>
    <x v="354"/>
    <x v="97"/>
    <x v="1"/>
    <x v="4"/>
    <n v="27801"/>
    <n v="3"/>
    <n v="83403"/>
  </r>
  <r>
    <x v="355"/>
    <x v="222"/>
    <x v="1"/>
    <x v="2"/>
    <n v="46913"/>
    <n v="8"/>
    <n v="375304"/>
  </r>
  <r>
    <x v="356"/>
    <x v="127"/>
    <x v="1"/>
    <x v="0"/>
    <n v="37572"/>
    <n v="1"/>
    <n v="37572"/>
  </r>
  <r>
    <x v="357"/>
    <x v="58"/>
    <x v="2"/>
    <x v="4"/>
    <n v="22286"/>
    <n v="1"/>
    <n v="22286"/>
  </r>
  <r>
    <x v="358"/>
    <x v="166"/>
    <x v="0"/>
    <x v="0"/>
    <n v="1692"/>
    <n v="3"/>
    <n v="5076"/>
  </r>
  <r>
    <x v="359"/>
    <x v="76"/>
    <x v="1"/>
    <x v="3"/>
    <n v="38232"/>
    <n v="6"/>
    <n v="229392"/>
  </r>
  <r>
    <x v="360"/>
    <x v="131"/>
    <x v="0"/>
    <x v="0"/>
    <n v="23050"/>
    <n v="4"/>
    <n v="92200"/>
  </r>
  <r>
    <x v="361"/>
    <x v="59"/>
    <x v="2"/>
    <x v="3"/>
    <n v="48623"/>
    <n v="3"/>
    <n v="145869"/>
  </r>
  <r>
    <x v="362"/>
    <x v="223"/>
    <x v="0"/>
    <x v="1"/>
    <n v="11420"/>
    <n v="5"/>
    <n v="57100"/>
  </r>
  <r>
    <x v="363"/>
    <x v="81"/>
    <x v="3"/>
    <x v="4"/>
    <n v="11554"/>
    <n v="6"/>
    <n v="69324"/>
  </r>
  <r>
    <x v="364"/>
    <x v="224"/>
    <x v="0"/>
    <x v="3"/>
    <n v="4250"/>
    <n v="7"/>
    <n v="29750"/>
  </r>
  <r>
    <x v="365"/>
    <x v="225"/>
    <x v="0"/>
    <x v="1"/>
    <n v="21878"/>
    <n v="10"/>
    <n v="218780"/>
  </r>
  <r>
    <x v="366"/>
    <x v="53"/>
    <x v="1"/>
    <x v="0"/>
    <n v="46820"/>
    <n v="1"/>
    <n v="46820"/>
  </r>
  <r>
    <x v="367"/>
    <x v="143"/>
    <x v="1"/>
    <x v="1"/>
    <n v="26995"/>
    <n v="10"/>
    <n v="269950"/>
  </r>
  <r>
    <x v="368"/>
    <x v="226"/>
    <x v="1"/>
    <x v="3"/>
    <n v="41500"/>
    <n v="5"/>
    <n v="207500"/>
  </r>
  <r>
    <x v="369"/>
    <x v="227"/>
    <x v="0"/>
    <x v="2"/>
    <n v="37584"/>
    <n v="5"/>
    <n v="187920"/>
  </r>
  <r>
    <x v="370"/>
    <x v="25"/>
    <x v="1"/>
    <x v="3"/>
    <n v="16684"/>
    <n v="2"/>
    <n v="33368"/>
  </r>
  <r>
    <x v="371"/>
    <x v="228"/>
    <x v="2"/>
    <x v="3"/>
    <n v="18908"/>
    <n v="5"/>
    <n v="94540"/>
  </r>
  <r>
    <x v="372"/>
    <x v="14"/>
    <x v="1"/>
    <x v="1"/>
    <n v="21100"/>
    <n v="10"/>
    <n v="211000"/>
  </r>
  <r>
    <x v="373"/>
    <x v="144"/>
    <x v="0"/>
    <x v="2"/>
    <n v="47660"/>
    <n v="8"/>
    <n v="381280"/>
  </r>
  <r>
    <x v="374"/>
    <x v="229"/>
    <x v="3"/>
    <x v="1"/>
    <n v="40981"/>
    <n v="8"/>
    <n v="327848"/>
  </r>
  <r>
    <x v="375"/>
    <x v="230"/>
    <x v="0"/>
    <x v="4"/>
    <n v="44710"/>
    <n v="1"/>
    <n v="44710"/>
  </r>
  <r>
    <x v="376"/>
    <x v="90"/>
    <x v="1"/>
    <x v="4"/>
    <n v="14292"/>
    <n v="4"/>
    <n v="57168"/>
  </r>
  <r>
    <x v="377"/>
    <x v="231"/>
    <x v="3"/>
    <x v="1"/>
    <n v="39897"/>
    <n v="5"/>
    <n v="199485"/>
  </r>
  <r>
    <x v="378"/>
    <x v="125"/>
    <x v="3"/>
    <x v="0"/>
    <n v="48415"/>
    <n v="8"/>
    <n v="387320"/>
  </r>
  <r>
    <x v="379"/>
    <x v="156"/>
    <x v="2"/>
    <x v="2"/>
    <n v="2008"/>
    <n v="2"/>
    <n v="4016"/>
  </r>
  <r>
    <x v="380"/>
    <x v="97"/>
    <x v="2"/>
    <x v="4"/>
    <n v="21240"/>
    <n v="4"/>
    <n v="84960"/>
  </r>
  <r>
    <x v="381"/>
    <x v="182"/>
    <x v="0"/>
    <x v="3"/>
    <n v="49665"/>
    <n v="10"/>
    <n v="496650"/>
  </r>
  <r>
    <x v="382"/>
    <x v="190"/>
    <x v="1"/>
    <x v="1"/>
    <n v="10537"/>
    <n v="10"/>
    <n v="105370"/>
  </r>
  <r>
    <x v="383"/>
    <x v="232"/>
    <x v="0"/>
    <x v="1"/>
    <n v="20545"/>
    <n v="9"/>
    <n v="184905"/>
  </r>
  <r>
    <x v="384"/>
    <x v="218"/>
    <x v="2"/>
    <x v="4"/>
    <n v="14438"/>
    <n v="2"/>
    <n v="28876"/>
  </r>
  <r>
    <x v="385"/>
    <x v="169"/>
    <x v="1"/>
    <x v="4"/>
    <n v="19567"/>
    <n v="4"/>
    <n v="78268"/>
  </r>
  <r>
    <x v="386"/>
    <x v="233"/>
    <x v="3"/>
    <x v="3"/>
    <n v="1400"/>
    <n v="10"/>
    <n v="14000"/>
  </r>
  <r>
    <x v="387"/>
    <x v="164"/>
    <x v="3"/>
    <x v="1"/>
    <n v="18455"/>
    <n v="7"/>
    <n v="129185"/>
  </r>
  <r>
    <x v="388"/>
    <x v="234"/>
    <x v="1"/>
    <x v="4"/>
    <n v="28686"/>
    <n v="1"/>
    <n v="28686"/>
  </r>
  <r>
    <x v="389"/>
    <x v="235"/>
    <x v="0"/>
    <x v="4"/>
    <n v="18561"/>
    <n v="10"/>
    <n v="185610"/>
  </r>
  <r>
    <x v="390"/>
    <x v="153"/>
    <x v="3"/>
    <x v="1"/>
    <n v="2067"/>
    <n v="9"/>
    <n v="18603"/>
  </r>
  <r>
    <x v="391"/>
    <x v="236"/>
    <x v="3"/>
    <x v="0"/>
    <n v="1385"/>
    <n v="5"/>
    <n v="6925"/>
  </r>
  <r>
    <x v="392"/>
    <x v="42"/>
    <x v="2"/>
    <x v="0"/>
    <n v="31853"/>
    <n v="9"/>
    <n v="286677"/>
  </r>
  <r>
    <x v="393"/>
    <x v="82"/>
    <x v="1"/>
    <x v="1"/>
    <n v="8963"/>
    <n v="6"/>
    <n v="53778"/>
  </r>
  <r>
    <x v="394"/>
    <x v="237"/>
    <x v="1"/>
    <x v="0"/>
    <n v="11024"/>
    <n v="1"/>
    <n v="11024"/>
  </r>
  <r>
    <x v="395"/>
    <x v="216"/>
    <x v="2"/>
    <x v="3"/>
    <n v="28378"/>
    <n v="1"/>
    <n v="28378"/>
  </r>
  <r>
    <x v="396"/>
    <x v="224"/>
    <x v="3"/>
    <x v="0"/>
    <n v="32669"/>
    <n v="10"/>
    <n v="326690"/>
  </r>
  <r>
    <x v="397"/>
    <x v="211"/>
    <x v="2"/>
    <x v="0"/>
    <n v="45982"/>
    <n v="5"/>
    <n v="229910"/>
  </r>
  <r>
    <x v="398"/>
    <x v="203"/>
    <x v="1"/>
    <x v="0"/>
    <n v="49783"/>
    <n v="2"/>
    <n v="99566"/>
  </r>
  <r>
    <x v="399"/>
    <x v="140"/>
    <x v="2"/>
    <x v="0"/>
    <n v="1948"/>
    <n v="4"/>
    <n v="7792"/>
  </r>
  <r>
    <x v="400"/>
    <x v="238"/>
    <x v="2"/>
    <x v="4"/>
    <n v="37677"/>
    <n v="8"/>
    <n v="301416"/>
  </r>
  <r>
    <x v="401"/>
    <x v="239"/>
    <x v="0"/>
    <x v="3"/>
    <n v="236"/>
    <n v="5"/>
    <n v="1180"/>
  </r>
  <r>
    <x v="402"/>
    <x v="240"/>
    <x v="1"/>
    <x v="1"/>
    <n v="40697"/>
    <n v="8"/>
    <n v="325576"/>
  </r>
  <r>
    <x v="403"/>
    <x v="241"/>
    <x v="2"/>
    <x v="1"/>
    <n v="44851"/>
    <n v="7"/>
    <n v="313957"/>
  </r>
  <r>
    <x v="404"/>
    <x v="171"/>
    <x v="3"/>
    <x v="4"/>
    <n v="25300"/>
    <n v="9"/>
    <n v="227700"/>
  </r>
  <r>
    <x v="405"/>
    <x v="5"/>
    <x v="0"/>
    <x v="4"/>
    <n v="7120"/>
    <n v="7"/>
    <n v="49840"/>
  </r>
  <r>
    <x v="406"/>
    <x v="129"/>
    <x v="1"/>
    <x v="4"/>
    <n v="28936"/>
    <n v="7"/>
    <n v="202552"/>
  </r>
  <r>
    <x v="407"/>
    <x v="79"/>
    <x v="0"/>
    <x v="0"/>
    <n v="16383"/>
    <n v="5"/>
    <n v="81915"/>
  </r>
  <r>
    <x v="408"/>
    <x v="119"/>
    <x v="2"/>
    <x v="1"/>
    <n v="30922"/>
    <n v="6"/>
    <n v="185532"/>
  </r>
  <r>
    <x v="409"/>
    <x v="242"/>
    <x v="3"/>
    <x v="1"/>
    <n v="46737"/>
    <n v="9"/>
    <n v="420633"/>
  </r>
  <r>
    <x v="410"/>
    <x v="144"/>
    <x v="0"/>
    <x v="3"/>
    <n v="16141"/>
    <n v="5"/>
    <n v="80705"/>
  </r>
  <r>
    <x v="411"/>
    <x v="62"/>
    <x v="2"/>
    <x v="1"/>
    <n v="17186"/>
    <n v="10"/>
    <n v="171860"/>
  </r>
  <r>
    <x v="412"/>
    <x v="89"/>
    <x v="1"/>
    <x v="1"/>
    <n v="1970"/>
    <n v="3"/>
    <n v="5910"/>
  </r>
  <r>
    <x v="413"/>
    <x v="10"/>
    <x v="2"/>
    <x v="2"/>
    <n v="7237"/>
    <n v="3"/>
    <n v="21711"/>
  </r>
  <r>
    <x v="414"/>
    <x v="243"/>
    <x v="3"/>
    <x v="4"/>
    <n v="47046"/>
    <n v="10"/>
    <n v="470460"/>
  </r>
  <r>
    <x v="415"/>
    <x v="25"/>
    <x v="2"/>
    <x v="4"/>
    <n v="12284"/>
    <n v="4"/>
    <n v="49136"/>
  </r>
  <r>
    <x v="416"/>
    <x v="244"/>
    <x v="3"/>
    <x v="1"/>
    <n v="49790"/>
    <n v="5"/>
    <n v="248950"/>
  </r>
  <r>
    <x v="417"/>
    <x v="218"/>
    <x v="0"/>
    <x v="4"/>
    <n v="36741"/>
    <n v="1"/>
    <n v="36741"/>
  </r>
  <r>
    <x v="418"/>
    <x v="232"/>
    <x v="1"/>
    <x v="4"/>
    <n v="40253"/>
    <n v="9"/>
    <n v="362277"/>
  </r>
  <r>
    <x v="419"/>
    <x v="233"/>
    <x v="0"/>
    <x v="3"/>
    <n v="36987"/>
    <n v="8"/>
    <n v="295896"/>
  </r>
  <r>
    <x v="420"/>
    <x v="148"/>
    <x v="1"/>
    <x v="3"/>
    <n v="31056"/>
    <n v="1"/>
    <n v="31056"/>
  </r>
  <r>
    <x v="421"/>
    <x v="245"/>
    <x v="3"/>
    <x v="3"/>
    <n v="6841"/>
    <n v="3"/>
    <n v="20523"/>
  </r>
  <r>
    <x v="422"/>
    <x v="246"/>
    <x v="2"/>
    <x v="2"/>
    <n v="10378"/>
    <n v="10"/>
    <n v="103780"/>
  </r>
  <r>
    <x v="423"/>
    <x v="247"/>
    <x v="3"/>
    <x v="2"/>
    <n v="22736"/>
    <n v="1"/>
    <n v="22736"/>
  </r>
  <r>
    <x v="424"/>
    <x v="117"/>
    <x v="0"/>
    <x v="3"/>
    <n v="36782"/>
    <n v="1"/>
    <n v="36782"/>
  </r>
  <r>
    <x v="425"/>
    <x v="170"/>
    <x v="0"/>
    <x v="4"/>
    <n v="49835"/>
    <n v="5"/>
    <n v="249175"/>
  </r>
  <r>
    <x v="426"/>
    <x v="42"/>
    <x v="2"/>
    <x v="0"/>
    <n v="24465"/>
    <n v="5"/>
    <n v="122325"/>
  </r>
  <r>
    <x v="427"/>
    <x v="75"/>
    <x v="1"/>
    <x v="2"/>
    <n v="31856"/>
    <n v="7"/>
    <n v="222992"/>
  </r>
  <r>
    <x v="428"/>
    <x v="248"/>
    <x v="3"/>
    <x v="2"/>
    <n v="13762"/>
    <n v="1"/>
    <n v="13762"/>
  </r>
  <r>
    <x v="429"/>
    <x v="131"/>
    <x v="3"/>
    <x v="2"/>
    <n v="36019"/>
    <n v="2"/>
    <n v="72038"/>
  </r>
  <r>
    <x v="430"/>
    <x v="9"/>
    <x v="3"/>
    <x v="4"/>
    <n v="4784"/>
    <n v="2"/>
    <n v="9568"/>
  </r>
  <r>
    <x v="431"/>
    <x v="249"/>
    <x v="3"/>
    <x v="0"/>
    <n v="47952"/>
    <n v="1"/>
    <n v="47952"/>
  </r>
  <r>
    <x v="432"/>
    <x v="29"/>
    <x v="0"/>
    <x v="4"/>
    <n v="5756"/>
    <n v="10"/>
    <n v="57560"/>
  </r>
  <r>
    <x v="433"/>
    <x v="250"/>
    <x v="3"/>
    <x v="1"/>
    <n v="26218"/>
    <n v="1"/>
    <n v="26218"/>
  </r>
  <r>
    <x v="434"/>
    <x v="99"/>
    <x v="1"/>
    <x v="2"/>
    <n v="14881"/>
    <n v="8"/>
    <n v="119048"/>
  </r>
  <r>
    <x v="435"/>
    <x v="39"/>
    <x v="1"/>
    <x v="0"/>
    <n v="8663"/>
    <n v="4"/>
    <n v="34652"/>
  </r>
  <r>
    <x v="436"/>
    <x v="222"/>
    <x v="3"/>
    <x v="3"/>
    <n v="16324"/>
    <n v="8"/>
    <n v="130592"/>
  </r>
  <r>
    <x v="437"/>
    <x v="31"/>
    <x v="0"/>
    <x v="0"/>
    <n v="35471"/>
    <n v="7"/>
    <n v="248297"/>
  </r>
  <r>
    <x v="438"/>
    <x v="251"/>
    <x v="2"/>
    <x v="3"/>
    <n v="13365"/>
    <n v="5"/>
    <n v="66825"/>
  </r>
  <r>
    <x v="439"/>
    <x v="115"/>
    <x v="2"/>
    <x v="3"/>
    <n v="46106"/>
    <n v="10"/>
    <n v="461060"/>
  </r>
  <r>
    <x v="440"/>
    <x v="252"/>
    <x v="1"/>
    <x v="1"/>
    <n v="10196"/>
    <n v="4"/>
    <n v="40784"/>
  </r>
  <r>
    <x v="441"/>
    <x v="44"/>
    <x v="0"/>
    <x v="3"/>
    <n v="20740"/>
    <n v="4"/>
    <n v="82960"/>
  </r>
  <r>
    <x v="442"/>
    <x v="253"/>
    <x v="1"/>
    <x v="1"/>
    <n v="38215"/>
    <n v="2"/>
    <n v="76430"/>
  </r>
  <r>
    <x v="443"/>
    <x v="236"/>
    <x v="1"/>
    <x v="0"/>
    <n v="33572"/>
    <n v="1"/>
    <n v="33572"/>
  </r>
  <r>
    <x v="444"/>
    <x v="254"/>
    <x v="0"/>
    <x v="4"/>
    <n v="48276"/>
    <n v="3"/>
    <n v="144828"/>
  </r>
  <r>
    <x v="445"/>
    <x v="155"/>
    <x v="3"/>
    <x v="2"/>
    <n v="8755"/>
    <n v="6"/>
    <n v="52530"/>
  </r>
  <r>
    <x v="446"/>
    <x v="136"/>
    <x v="0"/>
    <x v="1"/>
    <n v="13058"/>
    <n v="8"/>
    <n v="104464"/>
  </r>
  <r>
    <x v="447"/>
    <x v="142"/>
    <x v="1"/>
    <x v="3"/>
    <n v="7560"/>
    <n v="10"/>
    <n v="75600"/>
  </r>
  <r>
    <x v="448"/>
    <x v="231"/>
    <x v="1"/>
    <x v="3"/>
    <n v="40678"/>
    <n v="8"/>
    <n v="325424"/>
  </r>
  <r>
    <x v="449"/>
    <x v="255"/>
    <x v="3"/>
    <x v="4"/>
    <n v="795"/>
    <n v="5"/>
    <n v="3975"/>
  </r>
  <r>
    <x v="450"/>
    <x v="5"/>
    <x v="0"/>
    <x v="4"/>
    <n v="17020"/>
    <n v="10"/>
    <n v="170200"/>
  </r>
  <r>
    <x v="451"/>
    <x v="68"/>
    <x v="0"/>
    <x v="1"/>
    <n v="5722"/>
    <n v="5"/>
    <n v="28610"/>
  </r>
  <r>
    <x v="452"/>
    <x v="99"/>
    <x v="2"/>
    <x v="4"/>
    <n v="20782"/>
    <n v="9"/>
    <n v="187038"/>
  </r>
  <r>
    <x v="453"/>
    <x v="93"/>
    <x v="2"/>
    <x v="0"/>
    <n v="2993"/>
    <n v="3"/>
    <n v="8979"/>
  </r>
  <r>
    <x v="454"/>
    <x v="256"/>
    <x v="2"/>
    <x v="1"/>
    <n v="3735"/>
    <n v="1"/>
    <n v="3735"/>
  </r>
  <r>
    <x v="455"/>
    <x v="257"/>
    <x v="3"/>
    <x v="1"/>
    <n v="48785"/>
    <n v="2"/>
    <n v="97570"/>
  </r>
  <r>
    <x v="456"/>
    <x v="137"/>
    <x v="1"/>
    <x v="1"/>
    <n v="45910"/>
    <n v="10"/>
    <n v="459100"/>
  </r>
  <r>
    <x v="457"/>
    <x v="172"/>
    <x v="3"/>
    <x v="3"/>
    <n v="25273"/>
    <n v="8"/>
    <n v="202184"/>
  </r>
  <r>
    <x v="458"/>
    <x v="240"/>
    <x v="1"/>
    <x v="2"/>
    <n v="34230"/>
    <n v="5"/>
    <n v="171150"/>
  </r>
  <r>
    <x v="459"/>
    <x v="258"/>
    <x v="2"/>
    <x v="3"/>
    <n v="19963"/>
    <n v="3"/>
    <n v="59889"/>
  </r>
  <r>
    <x v="460"/>
    <x v="259"/>
    <x v="1"/>
    <x v="1"/>
    <n v="29920"/>
    <n v="3"/>
    <n v="89760"/>
  </r>
  <r>
    <x v="461"/>
    <x v="225"/>
    <x v="1"/>
    <x v="3"/>
    <n v="11605"/>
    <n v="10"/>
    <n v="116050"/>
  </r>
  <r>
    <x v="462"/>
    <x v="63"/>
    <x v="3"/>
    <x v="0"/>
    <n v="11130"/>
    <n v="5"/>
    <n v="55650"/>
  </r>
  <r>
    <x v="463"/>
    <x v="260"/>
    <x v="2"/>
    <x v="4"/>
    <n v="29816"/>
    <n v="7"/>
    <n v="208712"/>
  </r>
  <r>
    <x v="464"/>
    <x v="56"/>
    <x v="0"/>
    <x v="3"/>
    <n v="12590"/>
    <n v="6"/>
    <n v="75540"/>
  </r>
  <r>
    <x v="465"/>
    <x v="62"/>
    <x v="2"/>
    <x v="1"/>
    <n v="15373"/>
    <n v="8"/>
    <n v="122984"/>
  </r>
  <r>
    <x v="466"/>
    <x v="261"/>
    <x v="1"/>
    <x v="1"/>
    <n v="18115"/>
    <n v="8"/>
    <n v="144920"/>
  </r>
  <r>
    <x v="467"/>
    <x v="4"/>
    <x v="1"/>
    <x v="2"/>
    <n v="32197"/>
    <n v="3"/>
    <n v="96591"/>
  </r>
  <r>
    <x v="468"/>
    <x v="190"/>
    <x v="1"/>
    <x v="2"/>
    <n v="21544"/>
    <n v="10"/>
    <n v="215440"/>
  </r>
  <r>
    <x v="469"/>
    <x v="44"/>
    <x v="0"/>
    <x v="2"/>
    <n v="40030"/>
    <n v="6"/>
    <n v="240180"/>
  </r>
  <r>
    <x v="470"/>
    <x v="225"/>
    <x v="2"/>
    <x v="0"/>
    <n v="1638"/>
    <n v="9"/>
    <n v="14742"/>
  </r>
  <r>
    <x v="471"/>
    <x v="71"/>
    <x v="2"/>
    <x v="2"/>
    <n v="10232"/>
    <n v="9"/>
    <n v="92088"/>
  </r>
  <r>
    <x v="472"/>
    <x v="262"/>
    <x v="1"/>
    <x v="1"/>
    <n v="7859"/>
    <n v="3"/>
    <n v="23577"/>
  </r>
  <r>
    <x v="472"/>
    <x v="262"/>
    <x v="1"/>
    <x v="1"/>
    <n v="7859"/>
    <n v="3"/>
    <n v="23577"/>
  </r>
  <r>
    <x v="473"/>
    <x v="130"/>
    <x v="2"/>
    <x v="4"/>
    <n v="25239"/>
    <n v="5"/>
    <n v="126195"/>
  </r>
  <r>
    <x v="474"/>
    <x v="183"/>
    <x v="1"/>
    <x v="4"/>
    <n v="27068"/>
    <n v="6"/>
    <n v="162408"/>
  </r>
  <r>
    <x v="475"/>
    <x v="104"/>
    <x v="0"/>
    <x v="1"/>
    <n v="10910"/>
    <n v="10"/>
    <n v="109100"/>
  </r>
  <r>
    <x v="476"/>
    <x v="195"/>
    <x v="1"/>
    <x v="0"/>
    <n v="10995"/>
    <n v="7"/>
    <n v="76965"/>
  </r>
  <r>
    <x v="477"/>
    <x v="180"/>
    <x v="2"/>
    <x v="0"/>
    <n v="37036"/>
    <n v="9"/>
    <n v="333324"/>
  </r>
  <r>
    <x v="478"/>
    <x v="257"/>
    <x v="2"/>
    <x v="1"/>
    <n v="27602"/>
    <n v="7"/>
    <n v="193214"/>
  </r>
  <r>
    <x v="479"/>
    <x v="110"/>
    <x v="3"/>
    <x v="0"/>
    <n v="22528"/>
    <n v="1"/>
    <n v="22528"/>
  </r>
  <r>
    <x v="480"/>
    <x v="263"/>
    <x v="1"/>
    <x v="4"/>
    <n v="7601"/>
    <n v="4"/>
    <n v="30404"/>
  </r>
  <r>
    <x v="481"/>
    <x v="76"/>
    <x v="1"/>
    <x v="4"/>
    <n v="47287"/>
    <n v="4"/>
    <n v="189148"/>
  </r>
  <r>
    <x v="482"/>
    <x v="232"/>
    <x v="2"/>
    <x v="2"/>
    <n v="25527"/>
    <n v="9"/>
    <n v="229743"/>
  </r>
  <r>
    <x v="483"/>
    <x v="108"/>
    <x v="3"/>
    <x v="0"/>
    <n v="17015"/>
    <n v="5"/>
    <n v="85075"/>
  </r>
  <r>
    <x v="484"/>
    <x v="41"/>
    <x v="3"/>
    <x v="4"/>
    <n v="14741"/>
    <n v="10"/>
    <n v="147410"/>
  </r>
  <r>
    <x v="485"/>
    <x v="149"/>
    <x v="0"/>
    <x v="1"/>
    <n v="19848"/>
    <n v="9"/>
    <n v="178632"/>
  </r>
  <r>
    <x v="486"/>
    <x v="146"/>
    <x v="2"/>
    <x v="4"/>
    <n v="7031"/>
    <n v="4"/>
    <n v="28124"/>
  </r>
  <r>
    <x v="487"/>
    <x v="97"/>
    <x v="3"/>
    <x v="1"/>
    <n v="6949"/>
    <n v="1"/>
    <n v="6949"/>
  </r>
  <r>
    <x v="488"/>
    <x v="25"/>
    <x v="0"/>
    <x v="4"/>
    <n v="39541"/>
    <n v="5"/>
    <n v="197705"/>
  </r>
  <r>
    <x v="489"/>
    <x v="218"/>
    <x v="0"/>
    <x v="4"/>
    <n v="2700"/>
    <n v="5"/>
    <n v="13500"/>
  </r>
  <r>
    <x v="490"/>
    <x v="264"/>
    <x v="3"/>
    <x v="2"/>
    <n v="19117"/>
    <n v="10"/>
    <n v="191170"/>
  </r>
  <r>
    <x v="491"/>
    <x v="243"/>
    <x v="0"/>
    <x v="4"/>
    <n v="45804"/>
    <n v="4"/>
    <n v="183216"/>
  </r>
  <r>
    <x v="492"/>
    <x v="187"/>
    <x v="0"/>
    <x v="4"/>
    <n v="5487"/>
    <n v="6"/>
    <n v="32922"/>
  </r>
  <r>
    <x v="493"/>
    <x v="265"/>
    <x v="3"/>
    <x v="0"/>
    <n v="20193"/>
    <n v="5"/>
    <n v="100965"/>
  </r>
  <r>
    <x v="494"/>
    <x v="15"/>
    <x v="2"/>
    <x v="1"/>
    <n v="11618"/>
    <n v="9"/>
    <n v="104562"/>
  </r>
  <r>
    <x v="495"/>
    <x v="114"/>
    <x v="2"/>
    <x v="3"/>
    <n v="13361"/>
    <n v="4"/>
    <n v="53444"/>
  </r>
  <r>
    <x v="496"/>
    <x v="79"/>
    <x v="0"/>
    <x v="4"/>
    <n v="4150"/>
    <n v="7"/>
    <n v="29050"/>
  </r>
  <r>
    <x v="497"/>
    <x v="126"/>
    <x v="3"/>
    <x v="2"/>
    <n v="3696"/>
    <n v="8"/>
    <n v="29568"/>
  </r>
  <r>
    <x v="498"/>
    <x v="13"/>
    <x v="1"/>
    <x v="4"/>
    <n v="46548"/>
    <n v="2"/>
    <n v="93096"/>
  </r>
  <r>
    <x v="499"/>
    <x v="68"/>
    <x v="0"/>
    <x v="3"/>
    <n v="11632"/>
    <n v="6"/>
    <n v="69792"/>
  </r>
  <r>
    <x v="500"/>
    <x v="252"/>
    <x v="3"/>
    <x v="1"/>
    <n v="47702"/>
    <n v="6"/>
    <n v="286212"/>
  </r>
  <r>
    <x v="501"/>
    <x v="266"/>
    <x v="1"/>
    <x v="0"/>
    <n v="4830"/>
    <n v="2"/>
    <n v="9660"/>
  </r>
  <r>
    <x v="502"/>
    <x v="46"/>
    <x v="1"/>
    <x v="2"/>
    <n v="26827"/>
    <n v="10"/>
    <n v="268270"/>
  </r>
  <r>
    <x v="503"/>
    <x v="267"/>
    <x v="2"/>
    <x v="4"/>
    <n v="8407"/>
    <n v="6"/>
    <n v="50442"/>
  </r>
  <r>
    <x v="504"/>
    <x v="53"/>
    <x v="1"/>
    <x v="1"/>
    <n v="4188"/>
    <n v="10"/>
    <n v="41880"/>
  </r>
  <r>
    <x v="505"/>
    <x v="268"/>
    <x v="1"/>
    <x v="1"/>
    <n v="22033"/>
    <n v="3"/>
    <n v="66099"/>
  </r>
  <r>
    <x v="506"/>
    <x v="31"/>
    <x v="3"/>
    <x v="3"/>
    <n v="31519"/>
    <n v="5"/>
    <n v="157595"/>
  </r>
  <r>
    <x v="507"/>
    <x v="82"/>
    <x v="1"/>
    <x v="0"/>
    <n v="5883"/>
    <n v="9"/>
    <n v="52947"/>
  </r>
  <r>
    <x v="508"/>
    <x v="127"/>
    <x v="3"/>
    <x v="3"/>
    <n v="38518"/>
    <n v="10"/>
    <n v="385180"/>
  </r>
  <r>
    <x v="509"/>
    <x v="269"/>
    <x v="3"/>
    <x v="4"/>
    <n v="19360"/>
    <n v="3"/>
    <n v="58080"/>
  </r>
  <r>
    <x v="510"/>
    <x v="47"/>
    <x v="0"/>
    <x v="2"/>
    <n v="47940"/>
    <n v="10"/>
    <n v="479400"/>
  </r>
  <r>
    <x v="511"/>
    <x v="270"/>
    <x v="2"/>
    <x v="2"/>
    <n v="42517"/>
    <n v="9"/>
    <n v="382653"/>
  </r>
  <r>
    <x v="512"/>
    <x v="238"/>
    <x v="3"/>
    <x v="0"/>
    <n v="35474"/>
    <n v="8"/>
    <n v="283792"/>
  </r>
  <r>
    <x v="512"/>
    <x v="238"/>
    <x v="3"/>
    <x v="0"/>
    <n v="35474"/>
    <n v="8"/>
    <n v="283792"/>
  </r>
  <r>
    <x v="513"/>
    <x v="271"/>
    <x v="0"/>
    <x v="3"/>
    <n v="34571"/>
    <n v="9"/>
    <n v="311139"/>
  </r>
  <r>
    <x v="514"/>
    <x v="272"/>
    <x v="0"/>
    <x v="4"/>
    <n v="9446"/>
    <n v="9"/>
    <n v="85014"/>
  </r>
  <r>
    <x v="515"/>
    <x v="51"/>
    <x v="0"/>
    <x v="0"/>
    <n v="36822"/>
    <n v="9"/>
    <n v="331398"/>
  </r>
  <r>
    <x v="516"/>
    <x v="227"/>
    <x v="2"/>
    <x v="1"/>
    <n v="1696"/>
    <n v="7"/>
    <n v="11872"/>
  </r>
  <r>
    <x v="517"/>
    <x v="218"/>
    <x v="3"/>
    <x v="0"/>
    <n v="1878"/>
    <n v="8"/>
    <n v="15024"/>
  </r>
  <r>
    <x v="518"/>
    <x v="189"/>
    <x v="1"/>
    <x v="0"/>
    <n v="14478"/>
    <n v="8"/>
    <n v="115824"/>
  </r>
  <r>
    <x v="519"/>
    <x v="273"/>
    <x v="3"/>
    <x v="0"/>
    <n v="41276"/>
    <n v="5"/>
    <n v="206380"/>
  </r>
  <r>
    <x v="520"/>
    <x v="274"/>
    <x v="1"/>
    <x v="4"/>
    <n v="29645"/>
    <n v="7"/>
    <n v="207515"/>
  </r>
  <r>
    <x v="521"/>
    <x v="155"/>
    <x v="1"/>
    <x v="3"/>
    <n v="19315"/>
    <n v="9"/>
    <n v="173835"/>
  </r>
  <r>
    <x v="522"/>
    <x v="246"/>
    <x v="2"/>
    <x v="1"/>
    <n v="630"/>
    <n v="10"/>
    <n v="6300"/>
  </r>
  <r>
    <x v="523"/>
    <x v="120"/>
    <x v="3"/>
    <x v="1"/>
    <n v="20067"/>
    <n v="3"/>
    <n v="60201"/>
  </r>
  <r>
    <x v="524"/>
    <x v="133"/>
    <x v="3"/>
    <x v="1"/>
    <n v="25904"/>
    <n v="9"/>
    <n v="233136"/>
  </r>
  <r>
    <x v="525"/>
    <x v="275"/>
    <x v="3"/>
    <x v="0"/>
    <n v="1351"/>
    <n v="3"/>
    <n v="4053"/>
  </r>
  <r>
    <x v="526"/>
    <x v="276"/>
    <x v="3"/>
    <x v="0"/>
    <n v="8390"/>
    <n v="1"/>
    <n v="8390"/>
  </r>
  <r>
    <x v="527"/>
    <x v="277"/>
    <x v="3"/>
    <x v="3"/>
    <n v="8633"/>
    <n v="3"/>
    <n v="25899"/>
  </r>
  <r>
    <x v="528"/>
    <x v="204"/>
    <x v="2"/>
    <x v="0"/>
    <n v="25264"/>
    <n v="6"/>
    <n v="151584"/>
  </r>
  <r>
    <x v="529"/>
    <x v="41"/>
    <x v="1"/>
    <x v="2"/>
    <n v="23859"/>
    <n v="4"/>
    <n v="95436"/>
  </r>
  <r>
    <x v="530"/>
    <x v="145"/>
    <x v="1"/>
    <x v="0"/>
    <n v="48072"/>
    <n v="10"/>
    <n v="480720"/>
  </r>
  <r>
    <x v="531"/>
    <x v="278"/>
    <x v="3"/>
    <x v="1"/>
    <n v="24892"/>
    <n v="1"/>
    <n v="24892"/>
  </r>
  <r>
    <x v="532"/>
    <x v="40"/>
    <x v="0"/>
    <x v="4"/>
    <n v="25634"/>
    <n v="10"/>
    <n v="256340"/>
  </r>
  <r>
    <x v="533"/>
    <x v="93"/>
    <x v="3"/>
    <x v="2"/>
    <n v="17117"/>
    <n v="3"/>
    <n v="51351"/>
  </r>
  <r>
    <x v="534"/>
    <x v="279"/>
    <x v="0"/>
    <x v="0"/>
    <n v="24150"/>
    <n v="1"/>
    <n v="24150"/>
  </r>
  <r>
    <x v="535"/>
    <x v="12"/>
    <x v="3"/>
    <x v="3"/>
    <n v="467"/>
    <n v="10"/>
    <n v="4670"/>
  </r>
  <r>
    <x v="536"/>
    <x v="234"/>
    <x v="3"/>
    <x v="3"/>
    <n v="49519"/>
    <n v="5"/>
    <n v="247595"/>
  </r>
  <r>
    <x v="537"/>
    <x v="280"/>
    <x v="0"/>
    <x v="3"/>
    <n v="28945"/>
    <n v="6"/>
    <n v="173670"/>
  </r>
  <r>
    <x v="538"/>
    <x v="281"/>
    <x v="1"/>
    <x v="3"/>
    <n v="20609"/>
    <n v="3"/>
    <n v="61827"/>
  </r>
  <r>
    <x v="539"/>
    <x v="211"/>
    <x v="1"/>
    <x v="2"/>
    <n v="21541"/>
    <n v="3"/>
    <n v="64623"/>
  </r>
  <r>
    <x v="540"/>
    <x v="79"/>
    <x v="3"/>
    <x v="0"/>
    <n v="45987"/>
    <n v="5"/>
    <n v="229935"/>
  </r>
  <r>
    <x v="541"/>
    <x v="79"/>
    <x v="0"/>
    <x v="1"/>
    <n v="7923"/>
    <n v="4"/>
    <n v="31692"/>
  </r>
  <r>
    <x v="542"/>
    <x v="156"/>
    <x v="0"/>
    <x v="4"/>
    <n v="44577"/>
    <n v="4"/>
    <n v="178308"/>
  </r>
  <r>
    <x v="543"/>
    <x v="12"/>
    <x v="2"/>
    <x v="4"/>
    <n v="49821"/>
    <n v="6"/>
    <n v="298926"/>
  </r>
  <r>
    <x v="544"/>
    <x v="267"/>
    <x v="2"/>
    <x v="3"/>
    <n v="6046"/>
    <n v="9"/>
    <n v="54414"/>
  </r>
  <r>
    <x v="545"/>
    <x v="217"/>
    <x v="0"/>
    <x v="0"/>
    <n v="47426"/>
    <n v="1"/>
    <n v="47426"/>
  </r>
  <r>
    <x v="546"/>
    <x v="171"/>
    <x v="1"/>
    <x v="0"/>
    <n v="21532"/>
    <n v="6"/>
    <n v="129192"/>
  </r>
  <r>
    <x v="547"/>
    <x v="219"/>
    <x v="2"/>
    <x v="1"/>
    <n v="23360"/>
    <n v="1"/>
    <n v="23360"/>
  </r>
  <r>
    <x v="548"/>
    <x v="108"/>
    <x v="3"/>
    <x v="2"/>
    <n v="40348"/>
    <n v="3"/>
    <n v="121044"/>
  </r>
  <r>
    <x v="549"/>
    <x v="3"/>
    <x v="3"/>
    <x v="4"/>
    <n v="30069"/>
    <n v="2"/>
    <n v="60138"/>
  </r>
  <r>
    <x v="549"/>
    <x v="3"/>
    <x v="3"/>
    <x v="4"/>
    <n v="30069"/>
    <n v="2"/>
    <n v="60138"/>
  </r>
  <r>
    <x v="550"/>
    <x v="151"/>
    <x v="1"/>
    <x v="4"/>
    <n v="42710"/>
    <n v="4"/>
    <n v="170840"/>
  </r>
  <r>
    <x v="551"/>
    <x v="246"/>
    <x v="3"/>
    <x v="0"/>
    <n v="35489"/>
    <n v="6"/>
    <n v="212934"/>
  </r>
  <r>
    <x v="552"/>
    <x v="95"/>
    <x v="1"/>
    <x v="2"/>
    <n v="29586"/>
    <n v="1"/>
    <n v="29586"/>
  </r>
  <r>
    <x v="553"/>
    <x v="209"/>
    <x v="3"/>
    <x v="4"/>
    <n v="17950"/>
    <n v="7"/>
    <n v="125650"/>
  </r>
  <r>
    <x v="554"/>
    <x v="166"/>
    <x v="1"/>
    <x v="4"/>
    <n v="33889"/>
    <n v="1"/>
    <n v="33889"/>
  </r>
  <r>
    <x v="555"/>
    <x v="196"/>
    <x v="1"/>
    <x v="0"/>
    <n v="42281"/>
    <n v="1"/>
    <n v="42281"/>
  </r>
  <r>
    <x v="556"/>
    <x v="72"/>
    <x v="1"/>
    <x v="3"/>
    <n v="2130"/>
    <n v="7"/>
    <n v="14910"/>
  </r>
  <r>
    <x v="557"/>
    <x v="11"/>
    <x v="0"/>
    <x v="4"/>
    <n v="4737"/>
    <n v="7"/>
    <n v="33159"/>
  </r>
  <r>
    <x v="558"/>
    <x v="100"/>
    <x v="1"/>
    <x v="0"/>
    <n v="29694"/>
    <n v="1"/>
    <n v="29694"/>
  </r>
  <r>
    <x v="559"/>
    <x v="189"/>
    <x v="2"/>
    <x v="4"/>
    <n v="3424"/>
    <n v="4"/>
    <n v="13696"/>
  </r>
  <r>
    <x v="560"/>
    <x v="215"/>
    <x v="3"/>
    <x v="2"/>
    <n v="17858"/>
    <n v="10"/>
    <n v="178580"/>
  </r>
  <r>
    <x v="561"/>
    <x v="191"/>
    <x v="3"/>
    <x v="4"/>
    <n v="28219"/>
    <n v="9"/>
    <n v="253971"/>
  </r>
  <r>
    <x v="562"/>
    <x v="262"/>
    <x v="3"/>
    <x v="2"/>
    <n v="43402"/>
    <n v="7"/>
    <n v="303814"/>
  </r>
  <r>
    <x v="563"/>
    <x v="282"/>
    <x v="1"/>
    <x v="3"/>
    <n v="14822"/>
    <n v="5"/>
    <n v="74110"/>
  </r>
  <r>
    <x v="564"/>
    <x v="68"/>
    <x v="0"/>
    <x v="0"/>
    <n v="10818"/>
    <n v="6"/>
    <n v="64908"/>
  </r>
  <r>
    <x v="565"/>
    <x v="211"/>
    <x v="0"/>
    <x v="3"/>
    <n v="48017"/>
    <n v="6"/>
    <n v="288102"/>
  </r>
  <r>
    <x v="566"/>
    <x v="140"/>
    <x v="0"/>
    <x v="4"/>
    <n v="13040"/>
    <n v="2"/>
    <n v="26080"/>
  </r>
  <r>
    <x v="567"/>
    <x v="80"/>
    <x v="3"/>
    <x v="2"/>
    <n v="6181"/>
    <n v="1"/>
    <n v="6181"/>
  </r>
  <r>
    <x v="568"/>
    <x v="195"/>
    <x v="0"/>
    <x v="3"/>
    <n v="17439"/>
    <n v="2"/>
    <n v="34878"/>
  </r>
  <r>
    <x v="569"/>
    <x v="60"/>
    <x v="2"/>
    <x v="1"/>
    <n v="15438"/>
    <n v="9"/>
    <n v="138942"/>
  </r>
  <r>
    <x v="570"/>
    <x v="149"/>
    <x v="0"/>
    <x v="0"/>
    <n v="2668"/>
    <n v="8"/>
    <n v="21344"/>
  </r>
  <r>
    <x v="571"/>
    <x v="235"/>
    <x v="1"/>
    <x v="3"/>
    <n v="26458"/>
    <n v="6"/>
    <n v="158748"/>
  </r>
  <r>
    <x v="572"/>
    <x v="33"/>
    <x v="0"/>
    <x v="4"/>
    <n v="30224"/>
    <n v="4"/>
    <n v="120896"/>
  </r>
  <r>
    <x v="573"/>
    <x v="283"/>
    <x v="3"/>
    <x v="1"/>
    <n v="47280"/>
    <n v="8"/>
    <n v="378240"/>
  </r>
  <r>
    <x v="574"/>
    <x v="149"/>
    <x v="0"/>
    <x v="1"/>
    <n v="21673"/>
    <n v="8"/>
    <n v="173384"/>
  </r>
  <r>
    <x v="575"/>
    <x v="70"/>
    <x v="2"/>
    <x v="0"/>
    <n v="45055"/>
    <n v="3"/>
    <n v="135165"/>
  </r>
  <r>
    <x v="576"/>
    <x v="47"/>
    <x v="1"/>
    <x v="4"/>
    <n v="30611"/>
    <n v="4"/>
    <n v="122444"/>
  </r>
  <r>
    <x v="577"/>
    <x v="202"/>
    <x v="3"/>
    <x v="0"/>
    <n v="18088"/>
    <n v="7"/>
    <n v="126616"/>
  </r>
  <r>
    <x v="578"/>
    <x v="284"/>
    <x v="3"/>
    <x v="0"/>
    <n v="181"/>
    <n v="7"/>
    <n v="1267"/>
  </r>
  <r>
    <x v="579"/>
    <x v="285"/>
    <x v="0"/>
    <x v="1"/>
    <n v="2638"/>
    <n v="8"/>
    <n v="21104"/>
  </r>
  <r>
    <x v="580"/>
    <x v="44"/>
    <x v="2"/>
    <x v="4"/>
    <n v="20590"/>
    <n v="6"/>
    <n v="123540"/>
  </r>
  <r>
    <x v="581"/>
    <x v="145"/>
    <x v="2"/>
    <x v="1"/>
    <n v="30084"/>
    <n v="3"/>
    <n v="90252"/>
  </r>
  <r>
    <x v="582"/>
    <x v="240"/>
    <x v="1"/>
    <x v="4"/>
    <n v="47640"/>
    <n v="5"/>
    <n v="238200"/>
  </r>
  <r>
    <x v="583"/>
    <x v="285"/>
    <x v="3"/>
    <x v="4"/>
    <n v="25722"/>
    <n v="7"/>
    <n v="180054"/>
  </r>
  <r>
    <x v="584"/>
    <x v="107"/>
    <x v="1"/>
    <x v="4"/>
    <n v="12469"/>
    <n v="10"/>
    <n v="124690"/>
  </r>
  <r>
    <x v="585"/>
    <x v="215"/>
    <x v="2"/>
    <x v="0"/>
    <n v="31622"/>
    <n v="2"/>
    <n v="63244"/>
  </r>
  <r>
    <x v="586"/>
    <x v="286"/>
    <x v="0"/>
    <x v="3"/>
    <n v="1048"/>
    <n v="8"/>
    <n v="8384"/>
  </r>
  <r>
    <x v="587"/>
    <x v="95"/>
    <x v="1"/>
    <x v="4"/>
    <n v="12919"/>
    <n v="10"/>
    <n v="129190"/>
  </r>
  <r>
    <x v="588"/>
    <x v="181"/>
    <x v="0"/>
    <x v="0"/>
    <n v="24582"/>
    <n v="4"/>
    <n v="98328"/>
  </r>
  <r>
    <x v="589"/>
    <x v="61"/>
    <x v="3"/>
    <x v="0"/>
    <n v="44065"/>
    <n v="6"/>
    <n v="264390"/>
  </r>
  <r>
    <x v="590"/>
    <x v="287"/>
    <x v="1"/>
    <x v="4"/>
    <n v="36974"/>
    <n v="8"/>
    <n v="295792"/>
  </r>
  <r>
    <x v="591"/>
    <x v="268"/>
    <x v="3"/>
    <x v="3"/>
    <n v="24333"/>
    <n v="3"/>
    <n v="72999"/>
  </r>
  <r>
    <x v="592"/>
    <x v="136"/>
    <x v="1"/>
    <x v="0"/>
    <n v="19631"/>
    <n v="6"/>
    <n v="117786"/>
  </r>
  <r>
    <x v="593"/>
    <x v="184"/>
    <x v="3"/>
    <x v="3"/>
    <n v="13504"/>
    <n v="5"/>
    <n v="67520"/>
  </r>
  <r>
    <x v="594"/>
    <x v="288"/>
    <x v="1"/>
    <x v="1"/>
    <n v="25060"/>
    <n v="7"/>
    <n v="175420"/>
  </r>
  <r>
    <x v="595"/>
    <x v="164"/>
    <x v="2"/>
    <x v="2"/>
    <n v="35233"/>
    <n v="7"/>
    <n v="246631"/>
  </r>
  <r>
    <x v="596"/>
    <x v="289"/>
    <x v="3"/>
    <x v="2"/>
    <n v="29321"/>
    <n v="5"/>
    <n v="146605"/>
  </r>
  <r>
    <x v="597"/>
    <x v="282"/>
    <x v="0"/>
    <x v="4"/>
    <n v="22340"/>
    <n v="3"/>
    <n v="67020"/>
  </r>
  <r>
    <x v="598"/>
    <x v="290"/>
    <x v="0"/>
    <x v="1"/>
    <n v="37996"/>
    <n v="3"/>
    <n v="113988"/>
  </r>
  <r>
    <x v="599"/>
    <x v="79"/>
    <x v="1"/>
    <x v="3"/>
    <n v="43418"/>
    <n v="3"/>
    <n v="130254"/>
  </r>
  <r>
    <x v="600"/>
    <x v="255"/>
    <x v="2"/>
    <x v="2"/>
    <n v="8711"/>
    <n v="9"/>
    <n v="78399"/>
  </r>
  <r>
    <x v="601"/>
    <x v="134"/>
    <x v="2"/>
    <x v="2"/>
    <n v="1433"/>
    <n v="5"/>
    <n v="7165"/>
  </r>
  <r>
    <x v="602"/>
    <x v="183"/>
    <x v="0"/>
    <x v="0"/>
    <n v="17393"/>
    <n v="9"/>
    <n v="156537"/>
  </r>
  <r>
    <x v="603"/>
    <x v="103"/>
    <x v="0"/>
    <x v="1"/>
    <n v="12882"/>
    <n v="2"/>
    <n v="25764"/>
  </r>
  <r>
    <x v="604"/>
    <x v="135"/>
    <x v="0"/>
    <x v="0"/>
    <n v="8280"/>
    <n v="2"/>
    <n v="16560"/>
  </r>
  <r>
    <x v="605"/>
    <x v="181"/>
    <x v="3"/>
    <x v="1"/>
    <n v="40844"/>
    <n v="9"/>
    <n v="367596"/>
  </r>
  <r>
    <x v="606"/>
    <x v="291"/>
    <x v="3"/>
    <x v="4"/>
    <n v="13891"/>
    <n v="6"/>
    <n v="83346"/>
  </r>
  <r>
    <x v="607"/>
    <x v="292"/>
    <x v="2"/>
    <x v="2"/>
    <n v="28136"/>
    <n v="3"/>
    <n v="84408"/>
  </r>
  <r>
    <x v="608"/>
    <x v="293"/>
    <x v="2"/>
    <x v="0"/>
    <n v="44389"/>
    <n v="10"/>
    <n v="443890"/>
  </r>
  <r>
    <x v="609"/>
    <x v="141"/>
    <x v="0"/>
    <x v="1"/>
    <n v="17417"/>
    <n v="5"/>
    <n v="87085"/>
  </r>
  <r>
    <x v="610"/>
    <x v="59"/>
    <x v="2"/>
    <x v="2"/>
    <n v="24993"/>
    <n v="2"/>
    <n v="49986"/>
  </r>
  <r>
    <x v="611"/>
    <x v="294"/>
    <x v="1"/>
    <x v="0"/>
    <n v="37257"/>
    <n v="4"/>
    <n v="149028"/>
  </r>
  <r>
    <x v="612"/>
    <x v="59"/>
    <x v="2"/>
    <x v="2"/>
    <n v="43726"/>
    <n v="8"/>
    <n v="349808"/>
  </r>
  <r>
    <x v="613"/>
    <x v="52"/>
    <x v="3"/>
    <x v="2"/>
    <n v="37551"/>
    <n v="1"/>
    <n v="37551"/>
  </r>
  <r>
    <x v="613"/>
    <x v="52"/>
    <x v="3"/>
    <x v="2"/>
    <n v="37551"/>
    <n v="1"/>
    <n v="37551"/>
  </r>
  <r>
    <x v="614"/>
    <x v="117"/>
    <x v="1"/>
    <x v="1"/>
    <n v="47677"/>
    <n v="4"/>
    <n v="190708"/>
  </r>
  <r>
    <x v="615"/>
    <x v="77"/>
    <x v="3"/>
    <x v="1"/>
    <n v="38083"/>
    <n v="10"/>
    <n v="380830"/>
  </r>
  <r>
    <x v="616"/>
    <x v="77"/>
    <x v="3"/>
    <x v="3"/>
    <n v="26256"/>
    <n v="1"/>
    <n v="26256"/>
  </r>
  <r>
    <x v="617"/>
    <x v="190"/>
    <x v="1"/>
    <x v="0"/>
    <n v="45567"/>
    <n v="7"/>
    <n v="318969"/>
  </r>
  <r>
    <x v="618"/>
    <x v="26"/>
    <x v="2"/>
    <x v="0"/>
    <n v="36676"/>
    <n v="8"/>
    <n v="293408"/>
  </r>
  <r>
    <x v="619"/>
    <x v="295"/>
    <x v="1"/>
    <x v="0"/>
    <n v="5258"/>
    <n v="8"/>
    <n v="42064"/>
  </r>
  <r>
    <x v="620"/>
    <x v="126"/>
    <x v="1"/>
    <x v="1"/>
    <n v="24260"/>
    <n v="9"/>
    <n v="218340"/>
  </r>
  <r>
    <x v="621"/>
    <x v="296"/>
    <x v="0"/>
    <x v="1"/>
    <n v="32663"/>
    <n v="4"/>
    <n v="130652"/>
  </r>
  <r>
    <x v="622"/>
    <x v="32"/>
    <x v="0"/>
    <x v="1"/>
    <n v="36742"/>
    <n v="8"/>
    <n v="293936"/>
  </r>
  <r>
    <x v="623"/>
    <x v="13"/>
    <x v="0"/>
    <x v="1"/>
    <n v="37764"/>
    <n v="1"/>
    <n v="37764"/>
  </r>
  <r>
    <x v="624"/>
    <x v="277"/>
    <x v="1"/>
    <x v="0"/>
    <n v="794"/>
    <n v="5"/>
    <n v="3970"/>
  </r>
  <r>
    <x v="625"/>
    <x v="122"/>
    <x v="3"/>
    <x v="4"/>
    <n v="31657"/>
    <n v="1"/>
    <n v="31657"/>
  </r>
  <r>
    <x v="626"/>
    <x v="158"/>
    <x v="3"/>
    <x v="4"/>
    <n v="347"/>
    <n v="10"/>
    <n v="3470"/>
  </r>
  <r>
    <x v="627"/>
    <x v="57"/>
    <x v="1"/>
    <x v="2"/>
    <n v="30239"/>
    <n v="4"/>
    <n v="120956"/>
  </r>
  <r>
    <x v="628"/>
    <x v="292"/>
    <x v="2"/>
    <x v="2"/>
    <n v="25171"/>
    <n v="4"/>
    <n v="100684"/>
  </r>
  <r>
    <x v="629"/>
    <x v="206"/>
    <x v="3"/>
    <x v="4"/>
    <n v="1927"/>
    <n v="3"/>
    <n v="5781"/>
  </r>
  <r>
    <x v="630"/>
    <x v="265"/>
    <x v="3"/>
    <x v="1"/>
    <n v="3735"/>
    <n v="4"/>
    <n v="14940"/>
  </r>
  <r>
    <x v="631"/>
    <x v="75"/>
    <x v="2"/>
    <x v="1"/>
    <n v="16426"/>
    <n v="7"/>
    <n v="114982"/>
  </r>
  <r>
    <x v="632"/>
    <x v="252"/>
    <x v="3"/>
    <x v="3"/>
    <n v="8311"/>
    <n v="7"/>
    <n v="58177"/>
  </r>
  <r>
    <x v="633"/>
    <x v="170"/>
    <x v="0"/>
    <x v="3"/>
    <n v="46395"/>
    <n v="3"/>
    <n v="139185"/>
  </r>
  <r>
    <x v="634"/>
    <x v="297"/>
    <x v="3"/>
    <x v="3"/>
    <n v="20147"/>
    <n v="4"/>
    <n v="80588"/>
  </r>
  <r>
    <x v="635"/>
    <x v="226"/>
    <x v="3"/>
    <x v="0"/>
    <n v="33198"/>
    <n v="10"/>
    <n v="331980"/>
  </r>
  <r>
    <x v="636"/>
    <x v="142"/>
    <x v="1"/>
    <x v="1"/>
    <n v="43366"/>
    <n v="6"/>
    <n v="260196"/>
  </r>
  <r>
    <x v="637"/>
    <x v="23"/>
    <x v="2"/>
    <x v="3"/>
    <n v="38784"/>
    <n v="5"/>
    <n v="193920"/>
  </r>
  <r>
    <x v="638"/>
    <x v="298"/>
    <x v="3"/>
    <x v="1"/>
    <n v="19002"/>
    <n v="6"/>
    <n v="114012"/>
  </r>
  <r>
    <x v="639"/>
    <x v="268"/>
    <x v="0"/>
    <x v="3"/>
    <n v="39771"/>
    <n v="9"/>
    <n v="357939"/>
  </r>
  <r>
    <x v="640"/>
    <x v="299"/>
    <x v="2"/>
    <x v="3"/>
    <n v="6129"/>
    <n v="7"/>
    <n v="42903"/>
  </r>
  <r>
    <x v="641"/>
    <x v="300"/>
    <x v="1"/>
    <x v="4"/>
    <n v="29146"/>
    <n v="4"/>
    <n v="116584"/>
  </r>
  <r>
    <x v="642"/>
    <x v="79"/>
    <x v="0"/>
    <x v="0"/>
    <n v="34742"/>
    <n v="9"/>
    <n v="312678"/>
  </r>
  <r>
    <x v="643"/>
    <x v="179"/>
    <x v="3"/>
    <x v="4"/>
    <n v="13872"/>
    <n v="1"/>
    <n v="13872"/>
  </r>
  <r>
    <x v="643"/>
    <x v="179"/>
    <x v="3"/>
    <x v="4"/>
    <n v="13872"/>
    <n v="1"/>
    <n v="13872"/>
  </r>
  <r>
    <x v="644"/>
    <x v="249"/>
    <x v="0"/>
    <x v="1"/>
    <n v="4655"/>
    <n v="8"/>
    <n v="37240"/>
  </r>
  <r>
    <x v="645"/>
    <x v="115"/>
    <x v="1"/>
    <x v="4"/>
    <n v="28971"/>
    <n v="8"/>
    <n v="231768"/>
  </r>
  <r>
    <x v="646"/>
    <x v="35"/>
    <x v="2"/>
    <x v="3"/>
    <n v="31950"/>
    <n v="9"/>
    <n v="287550"/>
  </r>
  <r>
    <x v="647"/>
    <x v="144"/>
    <x v="1"/>
    <x v="3"/>
    <n v="11175"/>
    <n v="7"/>
    <n v="78225"/>
  </r>
  <r>
    <x v="647"/>
    <x v="144"/>
    <x v="1"/>
    <x v="3"/>
    <n v="11175"/>
    <n v="7"/>
    <n v="78225"/>
  </r>
  <r>
    <x v="648"/>
    <x v="301"/>
    <x v="0"/>
    <x v="2"/>
    <n v="327"/>
    <n v="5"/>
    <n v="1635"/>
  </r>
  <r>
    <x v="649"/>
    <x v="195"/>
    <x v="0"/>
    <x v="3"/>
    <n v="35002"/>
    <n v="7"/>
    <n v="245014"/>
  </r>
  <r>
    <x v="650"/>
    <x v="277"/>
    <x v="3"/>
    <x v="4"/>
    <n v="21920"/>
    <n v="6"/>
    <n v="131520"/>
  </r>
  <r>
    <x v="651"/>
    <x v="219"/>
    <x v="2"/>
    <x v="4"/>
    <n v="21828"/>
    <n v="5"/>
    <n v="109140"/>
  </r>
  <r>
    <x v="652"/>
    <x v="40"/>
    <x v="3"/>
    <x v="2"/>
    <n v="20175"/>
    <n v="6"/>
    <n v="121050"/>
  </r>
  <r>
    <x v="653"/>
    <x v="218"/>
    <x v="1"/>
    <x v="0"/>
    <n v="41693"/>
    <n v="5"/>
    <n v="208465"/>
  </r>
  <r>
    <x v="654"/>
    <x v="165"/>
    <x v="2"/>
    <x v="3"/>
    <n v="13296"/>
    <n v="8"/>
    <n v="106368"/>
  </r>
  <r>
    <x v="655"/>
    <x v="302"/>
    <x v="3"/>
    <x v="0"/>
    <n v="41963"/>
    <n v="3"/>
    <n v="125889"/>
  </r>
  <r>
    <x v="656"/>
    <x v="254"/>
    <x v="3"/>
    <x v="4"/>
    <n v="26095"/>
    <n v="9"/>
    <n v="234855"/>
  </r>
  <r>
    <x v="657"/>
    <x v="93"/>
    <x v="2"/>
    <x v="2"/>
    <n v="23122"/>
    <n v="4"/>
    <n v="92488"/>
  </r>
  <r>
    <x v="658"/>
    <x v="185"/>
    <x v="1"/>
    <x v="0"/>
    <n v="46041"/>
    <n v="5"/>
    <n v="230205"/>
  </r>
  <r>
    <x v="659"/>
    <x v="27"/>
    <x v="3"/>
    <x v="4"/>
    <n v="45920"/>
    <n v="2"/>
    <n v="91840"/>
  </r>
  <r>
    <x v="660"/>
    <x v="85"/>
    <x v="2"/>
    <x v="4"/>
    <n v="30865"/>
    <n v="4"/>
    <n v="123460"/>
  </r>
  <r>
    <x v="661"/>
    <x v="303"/>
    <x v="3"/>
    <x v="4"/>
    <n v="30931"/>
    <n v="9"/>
    <n v="278379"/>
  </r>
  <r>
    <x v="662"/>
    <x v="156"/>
    <x v="0"/>
    <x v="2"/>
    <n v="40301"/>
    <n v="5"/>
    <n v="201505"/>
  </r>
  <r>
    <x v="663"/>
    <x v="89"/>
    <x v="0"/>
    <x v="3"/>
    <n v="30896"/>
    <n v="3"/>
    <n v="92688"/>
  </r>
  <r>
    <x v="664"/>
    <x v="240"/>
    <x v="1"/>
    <x v="3"/>
    <n v="17439"/>
    <n v="5"/>
    <n v="87195"/>
  </r>
  <r>
    <x v="665"/>
    <x v="128"/>
    <x v="0"/>
    <x v="4"/>
    <n v="5805"/>
    <n v="6"/>
    <n v="34830"/>
  </r>
  <r>
    <x v="666"/>
    <x v="6"/>
    <x v="3"/>
    <x v="3"/>
    <n v="16481"/>
    <n v="4"/>
    <n v="65924"/>
  </r>
  <r>
    <x v="667"/>
    <x v="304"/>
    <x v="1"/>
    <x v="2"/>
    <n v="29144"/>
    <n v="5"/>
    <n v="145720"/>
  </r>
  <r>
    <x v="668"/>
    <x v="117"/>
    <x v="3"/>
    <x v="4"/>
    <n v="12158"/>
    <n v="1"/>
    <n v="12158"/>
  </r>
  <r>
    <x v="669"/>
    <x v="92"/>
    <x v="1"/>
    <x v="1"/>
    <n v="42408"/>
    <n v="5"/>
    <n v="212040"/>
  </r>
  <r>
    <x v="670"/>
    <x v="281"/>
    <x v="2"/>
    <x v="2"/>
    <n v="8043"/>
    <n v="10"/>
    <n v="80430"/>
  </r>
  <r>
    <x v="671"/>
    <x v="5"/>
    <x v="2"/>
    <x v="1"/>
    <n v="22288"/>
    <n v="3"/>
    <n v="66864"/>
  </r>
  <r>
    <x v="672"/>
    <x v="305"/>
    <x v="0"/>
    <x v="0"/>
    <n v="35360"/>
    <n v="7"/>
    <n v="247520"/>
  </r>
  <r>
    <x v="673"/>
    <x v="39"/>
    <x v="2"/>
    <x v="4"/>
    <n v="28517"/>
    <n v="3"/>
    <n v="85551"/>
  </r>
  <r>
    <x v="674"/>
    <x v="84"/>
    <x v="0"/>
    <x v="2"/>
    <n v="12111"/>
    <n v="1"/>
    <n v="12111"/>
  </r>
  <r>
    <x v="675"/>
    <x v="263"/>
    <x v="0"/>
    <x v="3"/>
    <n v="44684"/>
    <n v="6"/>
    <n v="268104"/>
  </r>
  <r>
    <x v="676"/>
    <x v="165"/>
    <x v="2"/>
    <x v="1"/>
    <n v="7472"/>
    <n v="4"/>
    <n v="29888"/>
  </r>
  <r>
    <x v="677"/>
    <x v="72"/>
    <x v="2"/>
    <x v="0"/>
    <n v="16262"/>
    <n v="5"/>
    <n v="81310"/>
  </r>
  <r>
    <x v="678"/>
    <x v="292"/>
    <x v="3"/>
    <x v="0"/>
    <n v="43143"/>
    <n v="6"/>
    <n v="258858"/>
  </r>
  <r>
    <x v="679"/>
    <x v="136"/>
    <x v="2"/>
    <x v="4"/>
    <n v="9890"/>
    <n v="6"/>
    <n v="59340"/>
  </r>
  <r>
    <x v="680"/>
    <x v="264"/>
    <x v="2"/>
    <x v="4"/>
    <n v="40978"/>
    <n v="5"/>
    <n v="204890"/>
  </r>
  <r>
    <x v="681"/>
    <x v="200"/>
    <x v="1"/>
    <x v="2"/>
    <n v="11190"/>
    <n v="5"/>
    <n v="55950"/>
  </r>
  <r>
    <x v="682"/>
    <x v="306"/>
    <x v="0"/>
    <x v="2"/>
    <n v="34773"/>
    <n v="8"/>
    <n v="278184"/>
  </r>
  <r>
    <x v="683"/>
    <x v="30"/>
    <x v="3"/>
    <x v="2"/>
    <n v="18018"/>
    <n v="5"/>
    <n v="90090"/>
  </r>
  <r>
    <x v="684"/>
    <x v="240"/>
    <x v="3"/>
    <x v="3"/>
    <n v="3704"/>
    <n v="8"/>
    <n v="29632"/>
  </r>
  <r>
    <x v="685"/>
    <x v="251"/>
    <x v="2"/>
    <x v="2"/>
    <n v="46207"/>
    <n v="6"/>
    <n v="277242"/>
  </r>
  <r>
    <x v="686"/>
    <x v="80"/>
    <x v="0"/>
    <x v="3"/>
    <n v="31045"/>
    <n v="2"/>
    <n v="62090"/>
  </r>
  <r>
    <x v="686"/>
    <x v="80"/>
    <x v="0"/>
    <x v="3"/>
    <n v="31045"/>
    <n v="2"/>
    <n v="62090"/>
  </r>
  <r>
    <x v="687"/>
    <x v="183"/>
    <x v="2"/>
    <x v="3"/>
    <n v="36429"/>
    <n v="9"/>
    <n v="327861"/>
  </r>
  <r>
    <x v="688"/>
    <x v="13"/>
    <x v="3"/>
    <x v="1"/>
    <n v="1726"/>
    <n v="10"/>
    <n v="17260"/>
  </r>
  <r>
    <x v="689"/>
    <x v="135"/>
    <x v="3"/>
    <x v="0"/>
    <n v="34532"/>
    <n v="1"/>
    <n v="34532"/>
  </r>
  <r>
    <x v="690"/>
    <x v="146"/>
    <x v="0"/>
    <x v="4"/>
    <n v="5516"/>
    <n v="5"/>
    <n v="27580"/>
  </r>
  <r>
    <x v="691"/>
    <x v="127"/>
    <x v="3"/>
    <x v="0"/>
    <n v="37841"/>
    <n v="10"/>
    <n v="378410"/>
  </r>
  <r>
    <x v="692"/>
    <x v="307"/>
    <x v="0"/>
    <x v="4"/>
    <n v="37712"/>
    <n v="6"/>
    <n v="226272"/>
  </r>
  <r>
    <x v="693"/>
    <x v="32"/>
    <x v="1"/>
    <x v="3"/>
    <n v="4485"/>
    <n v="3"/>
    <n v="13455"/>
  </r>
  <r>
    <x v="694"/>
    <x v="54"/>
    <x v="3"/>
    <x v="3"/>
    <n v="23095"/>
    <n v="9"/>
    <n v="207855"/>
  </r>
  <r>
    <x v="695"/>
    <x v="308"/>
    <x v="3"/>
    <x v="3"/>
    <n v="11109"/>
    <n v="10"/>
    <n v="111090"/>
  </r>
  <r>
    <x v="696"/>
    <x v="26"/>
    <x v="1"/>
    <x v="0"/>
    <n v="43824"/>
    <n v="7"/>
    <n v="306768"/>
  </r>
  <r>
    <x v="697"/>
    <x v="239"/>
    <x v="3"/>
    <x v="0"/>
    <n v="46289"/>
    <n v="5"/>
    <n v="231445"/>
  </r>
  <r>
    <x v="698"/>
    <x v="65"/>
    <x v="0"/>
    <x v="0"/>
    <n v="45467"/>
    <n v="2"/>
    <n v="90934"/>
  </r>
  <r>
    <x v="699"/>
    <x v="242"/>
    <x v="2"/>
    <x v="4"/>
    <n v="49807"/>
    <n v="3"/>
    <n v="149421"/>
  </r>
  <r>
    <x v="699"/>
    <x v="242"/>
    <x v="2"/>
    <x v="4"/>
    <n v="49807"/>
    <n v="3"/>
    <n v="149421"/>
  </r>
  <r>
    <x v="700"/>
    <x v="309"/>
    <x v="2"/>
    <x v="2"/>
    <n v="34697"/>
    <n v="10"/>
    <n v="346970"/>
  </r>
  <r>
    <x v="701"/>
    <x v="191"/>
    <x v="1"/>
    <x v="2"/>
    <n v="30592"/>
    <n v="9"/>
    <n v="275328"/>
  </r>
  <r>
    <x v="702"/>
    <x v="136"/>
    <x v="1"/>
    <x v="4"/>
    <n v="44193"/>
    <n v="4"/>
    <n v="176772"/>
  </r>
  <r>
    <x v="703"/>
    <x v="258"/>
    <x v="3"/>
    <x v="2"/>
    <n v="10205"/>
    <n v="1"/>
    <n v="10205"/>
  </r>
  <r>
    <x v="704"/>
    <x v="310"/>
    <x v="3"/>
    <x v="0"/>
    <n v="27217"/>
    <n v="1"/>
    <n v="27217"/>
  </r>
  <r>
    <x v="705"/>
    <x v="274"/>
    <x v="1"/>
    <x v="0"/>
    <n v="31901"/>
    <n v="3"/>
    <n v="95703"/>
  </r>
  <r>
    <x v="706"/>
    <x v="57"/>
    <x v="1"/>
    <x v="3"/>
    <n v="6306"/>
    <n v="6"/>
    <n v="37836"/>
  </r>
  <r>
    <x v="707"/>
    <x v="89"/>
    <x v="1"/>
    <x v="2"/>
    <n v="21154"/>
    <n v="10"/>
    <n v="211540"/>
  </r>
  <r>
    <x v="708"/>
    <x v="305"/>
    <x v="1"/>
    <x v="2"/>
    <n v="44448"/>
    <n v="3"/>
    <n v="133344"/>
  </r>
  <r>
    <x v="709"/>
    <x v="256"/>
    <x v="0"/>
    <x v="3"/>
    <n v="3653"/>
    <n v="8"/>
    <n v="29224"/>
  </r>
  <r>
    <x v="710"/>
    <x v="183"/>
    <x v="3"/>
    <x v="2"/>
    <n v="11922"/>
    <n v="7"/>
    <n v="83454"/>
  </r>
  <r>
    <x v="711"/>
    <x v="7"/>
    <x v="2"/>
    <x v="4"/>
    <n v="22357"/>
    <n v="1"/>
    <n v="22357"/>
  </r>
  <r>
    <x v="712"/>
    <x v="146"/>
    <x v="2"/>
    <x v="3"/>
    <n v="6107"/>
    <n v="4"/>
    <n v="24428"/>
  </r>
  <r>
    <x v="713"/>
    <x v="45"/>
    <x v="2"/>
    <x v="3"/>
    <n v="22259"/>
    <n v="1"/>
    <n v="22259"/>
  </r>
  <r>
    <x v="714"/>
    <x v="224"/>
    <x v="0"/>
    <x v="4"/>
    <n v="20068"/>
    <n v="10"/>
    <n v="200680"/>
  </r>
  <r>
    <x v="715"/>
    <x v="311"/>
    <x v="0"/>
    <x v="0"/>
    <n v="9858"/>
    <n v="1"/>
    <n v="9858"/>
  </r>
  <r>
    <x v="716"/>
    <x v="137"/>
    <x v="2"/>
    <x v="1"/>
    <n v="21468"/>
    <n v="3"/>
    <n v="64404"/>
  </r>
  <r>
    <x v="717"/>
    <x v="199"/>
    <x v="3"/>
    <x v="4"/>
    <n v="16151"/>
    <n v="1"/>
    <n v="16151"/>
  </r>
  <r>
    <x v="718"/>
    <x v="83"/>
    <x v="1"/>
    <x v="0"/>
    <n v="5158"/>
    <n v="2"/>
    <n v="10316"/>
  </r>
  <r>
    <x v="719"/>
    <x v="272"/>
    <x v="3"/>
    <x v="4"/>
    <n v="49731"/>
    <n v="4"/>
    <n v="198924"/>
  </r>
  <r>
    <x v="720"/>
    <x v="312"/>
    <x v="3"/>
    <x v="4"/>
    <n v="1153"/>
    <n v="1"/>
    <n v="1153"/>
  </r>
  <r>
    <x v="721"/>
    <x v="225"/>
    <x v="1"/>
    <x v="2"/>
    <n v="48534"/>
    <n v="7"/>
    <n v="339738"/>
  </r>
  <r>
    <x v="722"/>
    <x v="273"/>
    <x v="3"/>
    <x v="4"/>
    <n v="31080"/>
    <n v="4"/>
    <n v="124320"/>
  </r>
  <r>
    <x v="723"/>
    <x v="313"/>
    <x v="2"/>
    <x v="1"/>
    <n v="28776"/>
    <n v="5"/>
    <n v="143880"/>
  </r>
  <r>
    <x v="724"/>
    <x v="186"/>
    <x v="3"/>
    <x v="1"/>
    <n v="22942"/>
    <n v="3"/>
    <n v="68826"/>
  </r>
  <r>
    <x v="725"/>
    <x v="26"/>
    <x v="2"/>
    <x v="1"/>
    <n v="36341"/>
    <n v="5"/>
    <n v="181705"/>
  </r>
  <r>
    <x v="726"/>
    <x v="76"/>
    <x v="2"/>
    <x v="3"/>
    <n v="20619"/>
    <n v="4"/>
    <n v="82476"/>
  </r>
  <r>
    <x v="727"/>
    <x v="314"/>
    <x v="1"/>
    <x v="3"/>
    <n v="8732"/>
    <n v="4"/>
    <n v="34928"/>
  </r>
  <r>
    <x v="728"/>
    <x v="113"/>
    <x v="3"/>
    <x v="4"/>
    <n v="7596"/>
    <n v="6"/>
    <n v="45576"/>
  </r>
  <r>
    <x v="729"/>
    <x v="279"/>
    <x v="1"/>
    <x v="2"/>
    <n v="8408"/>
    <n v="8"/>
    <n v="67264"/>
  </r>
  <r>
    <x v="730"/>
    <x v="51"/>
    <x v="3"/>
    <x v="1"/>
    <n v="1308"/>
    <n v="4"/>
    <n v="5232"/>
  </r>
  <r>
    <x v="731"/>
    <x v="315"/>
    <x v="2"/>
    <x v="1"/>
    <n v="49084"/>
    <n v="2"/>
    <n v="98168"/>
  </r>
  <r>
    <x v="732"/>
    <x v="316"/>
    <x v="3"/>
    <x v="3"/>
    <n v="7734"/>
    <n v="9"/>
    <n v="69606"/>
  </r>
  <r>
    <x v="733"/>
    <x v="311"/>
    <x v="0"/>
    <x v="2"/>
    <n v="34941"/>
    <n v="7"/>
    <n v="244587"/>
  </r>
  <r>
    <x v="734"/>
    <x v="287"/>
    <x v="2"/>
    <x v="0"/>
    <n v="38003"/>
    <n v="5"/>
    <n v="190015"/>
  </r>
  <r>
    <x v="735"/>
    <x v="168"/>
    <x v="0"/>
    <x v="4"/>
    <n v="6172"/>
    <n v="4"/>
    <n v="24688"/>
  </r>
  <r>
    <x v="736"/>
    <x v="49"/>
    <x v="1"/>
    <x v="4"/>
    <n v="1946"/>
    <n v="5"/>
    <n v="9730"/>
  </r>
  <r>
    <x v="737"/>
    <x v="317"/>
    <x v="3"/>
    <x v="1"/>
    <n v="10336"/>
    <n v="6"/>
    <n v="62016"/>
  </r>
  <r>
    <x v="738"/>
    <x v="318"/>
    <x v="2"/>
    <x v="2"/>
    <n v="12852"/>
    <n v="10"/>
    <n v="128520"/>
  </r>
  <r>
    <x v="739"/>
    <x v="268"/>
    <x v="3"/>
    <x v="0"/>
    <n v="46826"/>
    <n v="5"/>
    <n v="234130"/>
  </r>
  <r>
    <x v="740"/>
    <x v="129"/>
    <x v="1"/>
    <x v="3"/>
    <n v="34214"/>
    <n v="4"/>
    <n v="136856"/>
  </r>
  <r>
    <x v="741"/>
    <x v="192"/>
    <x v="0"/>
    <x v="1"/>
    <n v="47747"/>
    <n v="2"/>
    <n v="95494"/>
  </r>
  <r>
    <x v="742"/>
    <x v="319"/>
    <x v="2"/>
    <x v="3"/>
    <n v="46447"/>
    <n v="3"/>
    <n v="139341"/>
  </r>
  <r>
    <x v="743"/>
    <x v="320"/>
    <x v="1"/>
    <x v="4"/>
    <n v="48647"/>
    <n v="6"/>
    <n v="291882"/>
  </r>
  <r>
    <x v="744"/>
    <x v="15"/>
    <x v="2"/>
    <x v="3"/>
    <n v="18639"/>
    <n v="4"/>
    <n v="74556"/>
  </r>
  <r>
    <x v="745"/>
    <x v="67"/>
    <x v="1"/>
    <x v="1"/>
    <n v="47203"/>
    <n v="10"/>
    <n v="472030"/>
  </r>
  <r>
    <x v="746"/>
    <x v="36"/>
    <x v="1"/>
    <x v="0"/>
    <n v="25718"/>
    <n v="8"/>
    <n v="205744"/>
  </r>
  <r>
    <x v="747"/>
    <x v="246"/>
    <x v="1"/>
    <x v="1"/>
    <n v="26708"/>
    <n v="10"/>
    <n v="267080"/>
  </r>
  <r>
    <x v="748"/>
    <x v="203"/>
    <x v="1"/>
    <x v="2"/>
    <n v="47186"/>
    <n v="4"/>
    <n v="188744"/>
  </r>
  <r>
    <x v="749"/>
    <x v="198"/>
    <x v="1"/>
    <x v="4"/>
    <n v="33459"/>
    <n v="1"/>
    <n v="33459"/>
  </r>
  <r>
    <x v="750"/>
    <x v="284"/>
    <x v="3"/>
    <x v="2"/>
    <n v="27175"/>
    <n v="7"/>
    <n v="190225"/>
  </r>
  <r>
    <x v="751"/>
    <x v="167"/>
    <x v="0"/>
    <x v="2"/>
    <n v="9944"/>
    <n v="2"/>
    <n v="19888"/>
  </r>
  <r>
    <x v="752"/>
    <x v="10"/>
    <x v="2"/>
    <x v="1"/>
    <n v="26040"/>
    <n v="2"/>
    <n v="52080"/>
  </r>
  <r>
    <x v="753"/>
    <x v="21"/>
    <x v="3"/>
    <x v="4"/>
    <n v="8510"/>
    <n v="3"/>
    <n v="25530"/>
  </r>
  <r>
    <x v="754"/>
    <x v="27"/>
    <x v="2"/>
    <x v="3"/>
    <n v="25267"/>
    <n v="7"/>
    <n v="176869"/>
  </r>
  <r>
    <x v="755"/>
    <x v="138"/>
    <x v="0"/>
    <x v="0"/>
    <n v="43852"/>
    <n v="6"/>
    <n v="263112"/>
  </r>
  <r>
    <x v="756"/>
    <x v="311"/>
    <x v="2"/>
    <x v="0"/>
    <n v="7452"/>
    <n v="1"/>
    <n v="7452"/>
  </r>
  <r>
    <x v="757"/>
    <x v="159"/>
    <x v="0"/>
    <x v="1"/>
    <n v="4673"/>
    <n v="7"/>
    <n v="32711"/>
  </r>
  <r>
    <x v="758"/>
    <x v="49"/>
    <x v="1"/>
    <x v="4"/>
    <n v="28210"/>
    <n v="1"/>
    <n v="28210"/>
  </r>
  <r>
    <x v="759"/>
    <x v="299"/>
    <x v="0"/>
    <x v="4"/>
    <n v="41259"/>
    <n v="1"/>
    <n v="41259"/>
  </r>
  <r>
    <x v="760"/>
    <x v="127"/>
    <x v="3"/>
    <x v="3"/>
    <n v="31216"/>
    <n v="9"/>
    <n v="280944"/>
  </r>
  <r>
    <x v="761"/>
    <x v="96"/>
    <x v="2"/>
    <x v="4"/>
    <n v="1072"/>
    <n v="10"/>
    <n v="10720"/>
  </r>
  <r>
    <x v="762"/>
    <x v="321"/>
    <x v="0"/>
    <x v="2"/>
    <n v="32132"/>
    <n v="8"/>
    <n v="257056"/>
  </r>
  <r>
    <x v="763"/>
    <x v="322"/>
    <x v="0"/>
    <x v="3"/>
    <n v="26404"/>
    <n v="6"/>
    <n v="158424"/>
  </r>
  <r>
    <x v="764"/>
    <x v="275"/>
    <x v="1"/>
    <x v="3"/>
    <n v="6392"/>
    <n v="1"/>
    <n v="6392"/>
  </r>
  <r>
    <x v="765"/>
    <x v="182"/>
    <x v="0"/>
    <x v="3"/>
    <n v="14709"/>
    <n v="7"/>
    <n v="102963"/>
  </r>
  <r>
    <x v="766"/>
    <x v="217"/>
    <x v="0"/>
    <x v="3"/>
    <n v="16035"/>
    <n v="7"/>
    <n v="112245"/>
  </r>
  <r>
    <x v="767"/>
    <x v="68"/>
    <x v="3"/>
    <x v="4"/>
    <n v="22509"/>
    <n v="1"/>
    <n v="22509"/>
  </r>
  <r>
    <x v="768"/>
    <x v="83"/>
    <x v="3"/>
    <x v="1"/>
    <n v="49094"/>
    <n v="7"/>
    <n v="343658"/>
  </r>
  <r>
    <x v="769"/>
    <x v="82"/>
    <x v="1"/>
    <x v="1"/>
    <n v="5778"/>
    <n v="7"/>
    <n v="40446"/>
  </r>
  <r>
    <x v="770"/>
    <x v="253"/>
    <x v="2"/>
    <x v="2"/>
    <n v="41822"/>
    <n v="5"/>
    <n v="209110"/>
  </r>
  <r>
    <x v="771"/>
    <x v="21"/>
    <x v="1"/>
    <x v="1"/>
    <n v="42343"/>
    <n v="1"/>
    <n v="42343"/>
  </r>
  <r>
    <x v="772"/>
    <x v="185"/>
    <x v="1"/>
    <x v="0"/>
    <n v="15591"/>
    <n v="4"/>
    <n v="62364"/>
  </r>
  <r>
    <x v="773"/>
    <x v="42"/>
    <x v="0"/>
    <x v="2"/>
    <n v="21662"/>
    <n v="7"/>
    <n v="151634"/>
  </r>
  <r>
    <x v="774"/>
    <x v="100"/>
    <x v="0"/>
    <x v="1"/>
    <n v="15530"/>
    <n v="8"/>
    <n v="124240"/>
  </r>
  <r>
    <x v="775"/>
    <x v="177"/>
    <x v="1"/>
    <x v="3"/>
    <n v="20219"/>
    <n v="10"/>
    <n v="202190"/>
  </r>
  <r>
    <x v="776"/>
    <x v="287"/>
    <x v="3"/>
    <x v="4"/>
    <n v="23178"/>
    <n v="10"/>
    <n v="231780"/>
  </r>
  <r>
    <x v="777"/>
    <x v="247"/>
    <x v="2"/>
    <x v="4"/>
    <n v="31255"/>
    <n v="8"/>
    <n v="250040"/>
  </r>
  <r>
    <x v="778"/>
    <x v="318"/>
    <x v="0"/>
    <x v="3"/>
    <n v="32280"/>
    <n v="2"/>
    <n v="64560"/>
  </r>
  <r>
    <x v="779"/>
    <x v="204"/>
    <x v="0"/>
    <x v="3"/>
    <n v="39455"/>
    <n v="4"/>
    <n v="157820"/>
  </r>
  <r>
    <x v="780"/>
    <x v="124"/>
    <x v="3"/>
    <x v="1"/>
    <n v="45558"/>
    <n v="4"/>
    <n v="182232"/>
  </r>
  <r>
    <x v="781"/>
    <x v="61"/>
    <x v="3"/>
    <x v="4"/>
    <n v="33721"/>
    <n v="10"/>
    <n v="337210"/>
  </r>
  <r>
    <x v="782"/>
    <x v="232"/>
    <x v="2"/>
    <x v="4"/>
    <n v="40328"/>
    <n v="5"/>
    <n v="201640"/>
  </r>
  <r>
    <x v="783"/>
    <x v="28"/>
    <x v="1"/>
    <x v="2"/>
    <n v="10463"/>
    <n v="6"/>
    <n v="62778"/>
  </r>
  <r>
    <x v="784"/>
    <x v="203"/>
    <x v="0"/>
    <x v="4"/>
    <n v="45098"/>
    <n v="7"/>
    <n v="315686"/>
  </r>
  <r>
    <x v="785"/>
    <x v="323"/>
    <x v="1"/>
    <x v="2"/>
    <n v="23694"/>
    <n v="6"/>
    <n v="142164"/>
  </r>
  <r>
    <x v="786"/>
    <x v="177"/>
    <x v="2"/>
    <x v="4"/>
    <n v="7218"/>
    <n v="3"/>
    <n v="21654"/>
  </r>
  <r>
    <x v="787"/>
    <x v="212"/>
    <x v="0"/>
    <x v="0"/>
    <n v="40077"/>
    <n v="8"/>
    <n v="320616"/>
  </r>
  <r>
    <x v="788"/>
    <x v="28"/>
    <x v="2"/>
    <x v="2"/>
    <n v="12200"/>
    <n v="10"/>
    <n v="122000"/>
  </r>
  <r>
    <x v="789"/>
    <x v="77"/>
    <x v="1"/>
    <x v="3"/>
    <n v="42889"/>
    <n v="3"/>
    <n v="128667"/>
  </r>
  <r>
    <x v="790"/>
    <x v="274"/>
    <x v="1"/>
    <x v="0"/>
    <n v="10689"/>
    <n v="6"/>
    <n v="64134"/>
  </r>
  <r>
    <x v="791"/>
    <x v="5"/>
    <x v="3"/>
    <x v="1"/>
    <n v="1133"/>
    <n v="9"/>
    <n v="10197"/>
  </r>
  <r>
    <x v="791"/>
    <x v="5"/>
    <x v="3"/>
    <x v="1"/>
    <n v="1133"/>
    <n v="9"/>
    <n v="10197"/>
  </r>
  <r>
    <x v="792"/>
    <x v="170"/>
    <x v="2"/>
    <x v="4"/>
    <n v="26776"/>
    <n v="2"/>
    <n v="53552"/>
  </r>
  <r>
    <x v="793"/>
    <x v="257"/>
    <x v="2"/>
    <x v="3"/>
    <n v="32412"/>
    <n v="7"/>
    <n v="226884"/>
  </r>
  <r>
    <x v="794"/>
    <x v="105"/>
    <x v="2"/>
    <x v="3"/>
    <n v="9358"/>
    <n v="6"/>
    <n v="56148"/>
  </r>
  <r>
    <x v="795"/>
    <x v="91"/>
    <x v="2"/>
    <x v="1"/>
    <n v="25496"/>
    <n v="4"/>
    <n v="101984"/>
  </r>
  <r>
    <x v="796"/>
    <x v="91"/>
    <x v="2"/>
    <x v="4"/>
    <n v="10907"/>
    <n v="8"/>
    <n v="87256"/>
  </r>
  <r>
    <x v="797"/>
    <x v="144"/>
    <x v="1"/>
    <x v="2"/>
    <n v="27532"/>
    <n v="5"/>
    <n v="137660"/>
  </r>
  <r>
    <x v="798"/>
    <x v="245"/>
    <x v="2"/>
    <x v="3"/>
    <n v="28780"/>
    <n v="10"/>
    <n v="287800"/>
  </r>
  <r>
    <x v="799"/>
    <x v="127"/>
    <x v="3"/>
    <x v="4"/>
    <n v="31010"/>
    <n v="10"/>
    <n v="310100"/>
  </r>
  <r>
    <x v="800"/>
    <x v="318"/>
    <x v="0"/>
    <x v="2"/>
    <n v="1482"/>
    <n v="1"/>
    <n v="1482"/>
  </r>
  <r>
    <x v="801"/>
    <x v="199"/>
    <x v="2"/>
    <x v="2"/>
    <n v="41846"/>
    <n v="4"/>
    <n v="167384"/>
  </r>
  <r>
    <x v="802"/>
    <x v="252"/>
    <x v="1"/>
    <x v="0"/>
    <n v="21327"/>
    <n v="9"/>
    <n v="191943"/>
  </r>
  <r>
    <x v="802"/>
    <x v="252"/>
    <x v="1"/>
    <x v="0"/>
    <n v="21327"/>
    <n v="9"/>
    <n v="191943"/>
  </r>
  <r>
    <x v="803"/>
    <x v="269"/>
    <x v="1"/>
    <x v="4"/>
    <n v="20387"/>
    <n v="2"/>
    <n v="40774"/>
  </r>
  <r>
    <x v="804"/>
    <x v="193"/>
    <x v="3"/>
    <x v="4"/>
    <n v="29141"/>
    <n v="6"/>
    <n v="174846"/>
  </r>
  <r>
    <x v="805"/>
    <x v="311"/>
    <x v="1"/>
    <x v="4"/>
    <n v="49341"/>
    <n v="2"/>
    <n v="98682"/>
  </r>
  <r>
    <x v="806"/>
    <x v="2"/>
    <x v="1"/>
    <x v="4"/>
    <n v="36749"/>
    <n v="7"/>
    <n v="257243"/>
  </r>
  <r>
    <x v="807"/>
    <x v="13"/>
    <x v="1"/>
    <x v="0"/>
    <n v="14569"/>
    <n v="10"/>
    <n v="145690"/>
  </r>
  <r>
    <x v="808"/>
    <x v="0"/>
    <x v="2"/>
    <x v="2"/>
    <n v="3007"/>
    <n v="2"/>
    <n v="6014"/>
  </r>
  <r>
    <x v="809"/>
    <x v="203"/>
    <x v="1"/>
    <x v="2"/>
    <n v="42380"/>
    <n v="1"/>
    <n v="42380"/>
  </r>
  <r>
    <x v="810"/>
    <x v="3"/>
    <x v="1"/>
    <x v="3"/>
    <n v="42921"/>
    <n v="2"/>
    <n v="85842"/>
  </r>
  <r>
    <x v="811"/>
    <x v="286"/>
    <x v="2"/>
    <x v="4"/>
    <n v="41173"/>
    <n v="10"/>
    <n v="411730"/>
  </r>
  <r>
    <x v="812"/>
    <x v="305"/>
    <x v="3"/>
    <x v="2"/>
    <n v="12755"/>
    <n v="4"/>
    <n v="51020"/>
  </r>
  <r>
    <x v="813"/>
    <x v="301"/>
    <x v="2"/>
    <x v="1"/>
    <n v="47725"/>
    <n v="8"/>
    <n v="381800"/>
  </r>
  <r>
    <x v="814"/>
    <x v="76"/>
    <x v="2"/>
    <x v="3"/>
    <n v="23433"/>
    <n v="5"/>
    <n v="117165"/>
  </r>
  <r>
    <x v="814"/>
    <x v="76"/>
    <x v="2"/>
    <x v="3"/>
    <n v="23433"/>
    <n v="5"/>
    <n v="117165"/>
  </r>
  <r>
    <x v="815"/>
    <x v="266"/>
    <x v="1"/>
    <x v="0"/>
    <n v="9608"/>
    <n v="10"/>
    <n v="96080"/>
  </r>
  <r>
    <x v="816"/>
    <x v="266"/>
    <x v="3"/>
    <x v="2"/>
    <n v="41687"/>
    <n v="7"/>
    <n v="291809"/>
  </r>
  <r>
    <x v="817"/>
    <x v="108"/>
    <x v="0"/>
    <x v="1"/>
    <n v="47901"/>
    <n v="1"/>
    <n v="47901"/>
  </r>
  <r>
    <x v="818"/>
    <x v="163"/>
    <x v="1"/>
    <x v="2"/>
    <n v="43703"/>
    <n v="1"/>
    <n v="43703"/>
  </r>
  <r>
    <x v="819"/>
    <x v="267"/>
    <x v="3"/>
    <x v="1"/>
    <n v="15143"/>
    <n v="1"/>
    <n v="15143"/>
  </r>
  <r>
    <x v="820"/>
    <x v="80"/>
    <x v="0"/>
    <x v="0"/>
    <n v="9640"/>
    <n v="6"/>
    <n v="57840"/>
  </r>
  <r>
    <x v="821"/>
    <x v="301"/>
    <x v="2"/>
    <x v="2"/>
    <n v="11012"/>
    <n v="10"/>
    <n v="110120"/>
  </r>
  <r>
    <x v="822"/>
    <x v="28"/>
    <x v="1"/>
    <x v="0"/>
    <n v="36920"/>
    <n v="6"/>
    <n v="221520"/>
  </r>
  <r>
    <x v="823"/>
    <x v="195"/>
    <x v="3"/>
    <x v="3"/>
    <n v="34615"/>
    <n v="9"/>
    <n v="311535"/>
  </r>
  <r>
    <x v="824"/>
    <x v="225"/>
    <x v="1"/>
    <x v="0"/>
    <n v="49395"/>
    <n v="5"/>
    <n v="246975"/>
  </r>
  <r>
    <x v="825"/>
    <x v="324"/>
    <x v="0"/>
    <x v="2"/>
    <n v="2391"/>
    <n v="5"/>
    <n v="11955"/>
  </r>
  <r>
    <x v="826"/>
    <x v="158"/>
    <x v="0"/>
    <x v="4"/>
    <n v="23777"/>
    <n v="3"/>
    <n v="71331"/>
  </r>
  <r>
    <x v="827"/>
    <x v="34"/>
    <x v="3"/>
    <x v="2"/>
    <n v="19777"/>
    <n v="8"/>
    <n v="158216"/>
  </r>
  <r>
    <x v="828"/>
    <x v="156"/>
    <x v="3"/>
    <x v="3"/>
    <n v="16422"/>
    <n v="3"/>
    <n v="49266"/>
  </r>
  <r>
    <x v="829"/>
    <x v="73"/>
    <x v="3"/>
    <x v="4"/>
    <n v="18114"/>
    <n v="3"/>
    <n v="54342"/>
  </r>
  <r>
    <x v="830"/>
    <x v="184"/>
    <x v="1"/>
    <x v="2"/>
    <n v="40026"/>
    <n v="6"/>
    <n v="240156"/>
  </r>
  <r>
    <x v="831"/>
    <x v="219"/>
    <x v="0"/>
    <x v="0"/>
    <n v="10818"/>
    <n v="4"/>
    <n v="43272"/>
  </r>
  <r>
    <x v="832"/>
    <x v="215"/>
    <x v="2"/>
    <x v="2"/>
    <n v="46359"/>
    <n v="6"/>
    <n v="278154"/>
  </r>
  <r>
    <x v="833"/>
    <x v="278"/>
    <x v="0"/>
    <x v="0"/>
    <n v="25637"/>
    <n v="10"/>
    <n v="256370"/>
  </r>
  <r>
    <x v="834"/>
    <x v="210"/>
    <x v="3"/>
    <x v="2"/>
    <n v="8317"/>
    <n v="10"/>
    <n v="83170"/>
  </r>
  <r>
    <x v="835"/>
    <x v="214"/>
    <x v="0"/>
    <x v="0"/>
    <n v="49292"/>
    <n v="10"/>
    <n v="492920"/>
  </r>
  <r>
    <x v="836"/>
    <x v="246"/>
    <x v="2"/>
    <x v="0"/>
    <n v="4253"/>
    <n v="10"/>
    <n v="42530"/>
  </r>
  <r>
    <x v="837"/>
    <x v="325"/>
    <x v="2"/>
    <x v="1"/>
    <n v="17361"/>
    <n v="7"/>
    <n v="121527"/>
  </r>
  <r>
    <x v="838"/>
    <x v="66"/>
    <x v="2"/>
    <x v="2"/>
    <n v="607"/>
    <n v="4"/>
    <n v="2428"/>
  </r>
  <r>
    <x v="839"/>
    <x v="326"/>
    <x v="2"/>
    <x v="4"/>
    <n v="47741"/>
    <n v="8"/>
    <n v="381928"/>
  </r>
  <r>
    <x v="840"/>
    <x v="186"/>
    <x v="2"/>
    <x v="2"/>
    <n v="35771"/>
    <n v="4"/>
    <n v="143084"/>
  </r>
  <r>
    <x v="841"/>
    <x v="112"/>
    <x v="0"/>
    <x v="0"/>
    <n v="46954"/>
    <n v="8"/>
    <n v="375632"/>
  </r>
  <r>
    <x v="842"/>
    <x v="92"/>
    <x v="2"/>
    <x v="1"/>
    <n v="11730"/>
    <n v="3"/>
    <n v="35190"/>
  </r>
  <r>
    <x v="843"/>
    <x v="272"/>
    <x v="3"/>
    <x v="0"/>
    <n v="10322"/>
    <n v="9"/>
    <n v="92898"/>
  </r>
  <r>
    <x v="844"/>
    <x v="5"/>
    <x v="2"/>
    <x v="0"/>
    <n v="44450"/>
    <n v="5"/>
    <n v="222250"/>
  </r>
  <r>
    <x v="845"/>
    <x v="268"/>
    <x v="0"/>
    <x v="4"/>
    <n v="47499"/>
    <n v="10"/>
    <n v="474990"/>
  </r>
  <r>
    <x v="846"/>
    <x v="57"/>
    <x v="3"/>
    <x v="1"/>
    <n v="34118"/>
    <n v="7"/>
    <n v="238826"/>
  </r>
  <r>
    <x v="847"/>
    <x v="214"/>
    <x v="2"/>
    <x v="3"/>
    <n v="4285"/>
    <n v="1"/>
    <n v="4285"/>
  </r>
  <r>
    <x v="848"/>
    <x v="147"/>
    <x v="1"/>
    <x v="3"/>
    <n v="30994"/>
    <n v="9"/>
    <n v="278946"/>
  </r>
  <r>
    <x v="849"/>
    <x v="92"/>
    <x v="3"/>
    <x v="1"/>
    <n v="36289"/>
    <n v="10"/>
    <n v="362890"/>
  </r>
  <r>
    <x v="850"/>
    <x v="160"/>
    <x v="0"/>
    <x v="2"/>
    <n v="8459"/>
    <n v="4"/>
    <n v="33836"/>
  </r>
  <r>
    <x v="851"/>
    <x v="244"/>
    <x v="0"/>
    <x v="1"/>
    <n v="47538"/>
    <n v="4"/>
    <n v="190152"/>
  </r>
  <r>
    <x v="852"/>
    <x v="327"/>
    <x v="0"/>
    <x v="4"/>
    <n v="31364"/>
    <n v="2"/>
    <n v="62728"/>
  </r>
  <r>
    <x v="853"/>
    <x v="94"/>
    <x v="1"/>
    <x v="1"/>
    <n v="11472"/>
    <n v="6"/>
    <n v="68832"/>
  </r>
  <r>
    <x v="854"/>
    <x v="187"/>
    <x v="1"/>
    <x v="4"/>
    <n v="31510"/>
    <n v="6"/>
    <n v="189060"/>
  </r>
  <r>
    <x v="855"/>
    <x v="279"/>
    <x v="3"/>
    <x v="3"/>
    <n v="3850"/>
    <n v="4"/>
    <n v="15400"/>
  </r>
  <r>
    <x v="855"/>
    <x v="279"/>
    <x v="3"/>
    <x v="3"/>
    <n v="3850"/>
    <n v="4"/>
    <n v="15400"/>
  </r>
  <r>
    <x v="856"/>
    <x v="16"/>
    <x v="3"/>
    <x v="2"/>
    <n v="7822"/>
    <n v="4"/>
    <n v="31288"/>
  </r>
  <r>
    <x v="857"/>
    <x v="328"/>
    <x v="1"/>
    <x v="1"/>
    <n v="25297"/>
    <n v="8"/>
    <n v="202376"/>
  </r>
  <r>
    <x v="858"/>
    <x v="211"/>
    <x v="0"/>
    <x v="0"/>
    <n v="25005"/>
    <n v="7"/>
    <n v="175035"/>
  </r>
  <r>
    <x v="859"/>
    <x v="233"/>
    <x v="2"/>
    <x v="0"/>
    <n v="1257"/>
    <n v="9"/>
    <n v="11313"/>
  </r>
  <r>
    <x v="860"/>
    <x v="281"/>
    <x v="0"/>
    <x v="3"/>
    <n v="14117"/>
    <n v="2"/>
    <n v="28234"/>
  </r>
  <r>
    <x v="861"/>
    <x v="165"/>
    <x v="1"/>
    <x v="1"/>
    <n v="14988"/>
    <n v="3"/>
    <n v="44964"/>
  </r>
  <r>
    <x v="862"/>
    <x v="329"/>
    <x v="2"/>
    <x v="1"/>
    <n v="40683"/>
    <n v="10"/>
    <n v="406830"/>
  </r>
  <r>
    <x v="863"/>
    <x v="98"/>
    <x v="2"/>
    <x v="2"/>
    <n v="27552"/>
    <n v="1"/>
    <n v="27552"/>
  </r>
  <r>
    <x v="864"/>
    <x v="296"/>
    <x v="3"/>
    <x v="1"/>
    <n v="39758"/>
    <n v="5"/>
    <n v="198790"/>
  </r>
  <r>
    <x v="865"/>
    <x v="270"/>
    <x v="2"/>
    <x v="4"/>
    <n v="47834"/>
    <n v="8"/>
    <n v="382672"/>
  </r>
  <r>
    <x v="866"/>
    <x v="106"/>
    <x v="0"/>
    <x v="0"/>
    <n v="14059"/>
    <n v="4"/>
    <n v="56236"/>
  </r>
  <r>
    <x v="867"/>
    <x v="233"/>
    <x v="3"/>
    <x v="3"/>
    <n v="3109"/>
    <n v="1"/>
    <n v="3109"/>
  </r>
  <r>
    <x v="868"/>
    <x v="197"/>
    <x v="2"/>
    <x v="1"/>
    <n v="31697"/>
    <n v="1"/>
    <n v="31697"/>
  </r>
  <r>
    <x v="869"/>
    <x v="246"/>
    <x v="3"/>
    <x v="4"/>
    <n v="22846"/>
    <n v="3"/>
    <n v="68538"/>
  </r>
  <r>
    <x v="870"/>
    <x v="234"/>
    <x v="0"/>
    <x v="4"/>
    <n v="10278"/>
    <n v="8"/>
    <n v="82224"/>
  </r>
  <r>
    <x v="870"/>
    <x v="234"/>
    <x v="0"/>
    <x v="4"/>
    <n v="10278"/>
    <n v="8"/>
    <n v="82224"/>
  </r>
  <r>
    <x v="871"/>
    <x v="311"/>
    <x v="1"/>
    <x v="2"/>
    <n v="4766"/>
    <n v="6"/>
    <n v="28596"/>
  </r>
  <r>
    <x v="872"/>
    <x v="261"/>
    <x v="3"/>
    <x v="4"/>
    <n v="18667"/>
    <n v="8"/>
    <n v="149336"/>
  </r>
  <r>
    <x v="873"/>
    <x v="41"/>
    <x v="0"/>
    <x v="3"/>
    <n v="6271"/>
    <n v="9"/>
    <n v="56439"/>
  </r>
  <r>
    <x v="874"/>
    <x v="74"/>
    <x v="3"/>
    <x v="4"/>
    <n v="13897"/>
    <n v="2"/>
    <n v="27794"/>
  </r>
  <r>
    <x v="875"/>
    <x v="13"/>
    <x v="3"/>
    <x v="1"/>
    <n v="37555"/>
    <n v="8"/>
    <n v="300440"/>
  </r>
  <r>
    <x v="876"/>
    <x v="330"/>
    <x v="0"/>
    <x v="1"/>
    <n v="9947"/>
    <n v="1"/>
    <n v="9947"/>
  </r>
  <r>
    <x v="877"/>
    <x v="207"/>
    <x v="2"/>
    <x v="2"/>
    <n v="28711"/>
    <n v="5"/>
    <n v="143555"/>
  </r>
  <r>
    <x v="878"/>
    <x v="7"/>
    <x v="0"/>
    <x v="4"/>
    <n v="44336"/>
    <n v="2"/>
    <n v="88672"/>
  </r>
  <r>
    <x v="879"/>
    <x v="195"/>
    <x v="3"/>
    <x v="0"/>
    <n v="2481"/>
    <n v="3"/>
    <n v="7443"/>
  </r>
  <r>
    <x v="880"/>
    <x v="29"/>
    <x v="3"/>
    <x v="4"/>
    <n v="17592"/>
    <n v="3"/>
    <n v="52776"/>
  </r>
  <r>
    <x v="881"/>
    <x v="17"/>
    <x v="2"/>
    <x v="4"/>
    <n v="14464"/>
    <n v="3"/>
    <n v="43392"/>
  </r>
  <r>
    <x v="882"/>
    <x v="118"/>
    <x v="1"/>
    <x v="1"/>
    <n v="19645"/>
    <n v="1"/>
    <n v="19645"/>
  </r>
  <r>
    <x v="883"/>
    <x v="85"/>
    <x v="0"/>
    <x v="1"/>
    <n v="17445"/>
    <n v="1"/>
    <n v="17445"/>
  </r>
  <r>
    <x v="884"/>
    <x v="131"/>
    <x v="3"/>
    <x v="0"/>
    <n v="21107"/>
    <n v="1"/>
    <n v="21107"/>
  </r>
  <r>
    <x v="885"/>
    <x v="236"/>
    <x v="0"/>
    <x v="3"/>
    <n v="15240"/>
    <n v="2"/>
    <n v="30480"/>
  </r>
  <r>
    <x v="886"/>
    <x v="196"/>
    <x v="3"/>
    <x v="4"/>
    <n v="25624"/>
    <n v="7"/>
    <n v="179368"/>
  </r>
  <r>
    <x v="887"/>
    <x v="96"/>
    <x v="2"/>
    <x v="4"/>
    <n v="23271"/>
    <n v="2"/>
    <n v="46542"/>
  </r>
  <r>
    <x v="888"/>
    <x v="233"/>
    <x v="1"/>
    <x v="2"/>
    <n v="32647"/>
    <n v="8"/>
    <n v="261176"/>
  </r>
  <r>
    <x v="889"/>
    <x v="130"/>
    <x v="3"/>
    <x v="0"/>
    <n v="27621"/>
    <n v="5"/>
    <n v="138105"/>
  </r>
  <r>
    <x v="890"/>
    <x v="95"/>
    <x v="2"/>
    <x v="2"/>
    <n v="22007"/>
    <n v="5"/>
    <n v="110035"/>
  </r>
  <r>
    <x v="891"/>
    <x v="175"/>
    <x v="0"/>
    <x v="1"/>
    <n v="29553"/>
    <n v="2"/>
    <n v="59106"/>
  </r>
  <r>
    <x v="892"/>
    <x v="76"/>
    <x v="1"/>
    <x v="0"/>
    <n v="32717"/>
    <n v="2"/>
    <n v="65434"/>
  </r>
  <r>
    <x v="893"/>
    <x v="277"/>
    <x v="3"/>
    <x v="4"/>
    <n v="5537"/>
    <n v="2"/>
    <n v="11074"/>
  </r>
  <r>
    <x v="894"/>
    <x v="327"/>
    <x v="1"/>
    <x v="1"/>
    <n v="30239"/>
    <n v="7"/>
    <n v="211673"/>
  </r>
  <r>
    <x v="895"/>
    <x v="118"/>
    <x v="1"/>
    <x v="3"/>
    <n v="1728"/>
    <n v="2"/>
    <n v="3456"/>
  </r>
  <r>
    <x v="896"/>
    <x v="298"/>
    <x v="1"/>
    <x v="0"/>
    <n v="33027"/>
    <n v="2"/>
    <n v="66054"/>
  </r>
  <r>
    <x v="897"/>
    <x v="146"/>
    <x v="2"/>
    <x v="3"/>
    <n v="33300"/>
    <n v="7"/>
    <n v="233100"/>
  </r>
  <r>
    <x v="898"/>
    <x v="258"/>
    <x v="3"/>
    <x v="0"/>
    <n v="34483"/>
    <n v="10"/>
    <n v="344830"/>
  </r>
  <r>
    <x v="899"/>
    <x v="119"/>
    <x v="0"/>
    <x v="2"/>
    <n v="23945"/>
    <n v="9"/>
    <n v="215505"/>
  </r>
  <r>
    <x v="900"/>
    <x v="243"/>
    <x v="1"/>
    <x v="0"/>
    <n v="354"/>
    <n v="10"/>
    <n v="3540"/>
  </r>
  <r>
    <x v="901"/>
    <x v="331"/>
    <x v="2"/>
    <x v="4"/>
    <n v="748"/>
    <n v="1"/>
    <n v="748"/>
  </r>
  <r>
    <x v="902"/>
    <x v="114"/>
    <x v="2"/>
    <x v="4"/>
    <n v="33949"/>
    <n v="9"/>
    <n v="305541"/>
  </r>
  <r>
    <x v="903"/>
    <x v="307"/>
    <x v="3"/>
    <x v="1"/>
    <n v="17449"/>
    <n v="7"/>
    <n v="122143"/>
  </r>
  <r>
    <x v="904"/>
    <x v="23"/>
    <x v="3"/>
    <x v="1"/>
    <n v="14055"/>
    <n v="4"/>
    <n v="56220"/>
  </r>
  <r>
    <x v="904"/>
    <x v="23"/>
    <x v="3"/>
    <x v="1"/>
    <n v="14055"/>
    <n v="4"/>
    <n v="56220"/>
  </r>
  <r>
    <x v="905"/>
    <x v="129"/>
    <x v="2"/>
    <x v="4"/>
    <n v="12913"/>
    <n v="10"/>
    <n v="129130"/>
  </r>
  <r>
    <x v="906"/>
    <x v="199"/>
    <x v="1"/>
    <x v="4"/>
    <n v="36943"/>
    <n v="1"/>
    <n v="36943"/>
  </r>
  <r>
    <x v="907"/>
    <x v="21"/>
    <x v="2"/>
    <x v="2"/>
    <n v="15291"/>
    <n v="1"/>
    <n v="15291"/>
  </r>
  <r>
    <x v="908"/>
    <x v="75"/>
    <x v="2"/>
    <x v="0"/>
    <n v="38409"/>
    <n v="7"/>
    <n v="268863"/>
  </r>
  <r>
    <x v="909"/>
    <x v="114"/>
    <x v="3"/>
    <x v="1"/>
    <n v="28400"/>
    <n v="8"/>
    <n v="227200"/>
  </r>
  <r>
    <x v="910"/>
    <x v="328"/>
    <x v="0"/>
    <x v="1"/>
    <n v="15266"/>
    <n v="4"/>
    <n v="61064"/>
  </r>
  <r>
    <x v="911"/>
    <x v="248"/>
    <x v="1"/>
    <x v="4"/>
    <n v="21358"/>
    <n v="1"/>
    <n v="21358"/>
  </r>
  <r>
    <x v="912"/>
    <x v="270"/>
    <x v="1"/>
    <x v="4"/>
    <n v="43093"/>
    <n v="2"/>
    <n v="86186"/>
  </r>
  <r>
    <x v="913"/>
    <x v="307"/>
    <x v="0"/>
    <x v="4"/>
    <n v="12283"/>
    <n v="9"/>
    <n v="110547"/>
  </r>
  <r>
    <x v="914"/>
    <x v="259"/>
    <x v="1"/>
    <x v="2"/>
    <n v="3086"/>
    <n v="10"/>
    <n v="30860"/>
  </r>
  <r>
    <x v="915"/>
    <x v="173"/>
    <x v="0"/>
    <x v="0"/>
    <n v="8114"/>
    <n v="9"/>
    <n v="73026"/>
  </r>
  <r>
    <x v="916"/>
    <x v="290"/>
    <x v="0"/>
    <x v="1"/>
    <n v="45743"/>
    <n v="2"/>
    <n v="91486"/>
  </r>
  <r>
    <x v="917"/>
    <x v="146"/>
    <x v="2"/>
    <x v="1"/>
    <n v="19987"/>
    <n v="6"/>
    <n v="119922"/>
  </r>
  <r>
    <x v="918"/>
    <x v="31"/>
    <x v="0"/>
    <x v="3"/>
    <n v="2874"/>
    <n v="10"/>
    <n v="28740"/>
  </r>
  <r>
    <x v="919"/>
    <x v="94"/>
    <x v="3"/>
    <x v="3"/>
    <n v="41924"/>
    <n v="9"/>
    <n v="377316"/>
  </r>
  <r>
    <x v="920"/>
    <x v="300"/>
    <x v="3"/>
    <x v="3"/>
    <n v="18534"/>
    <n v="8"/>
    <n v="148272"/>
  </r>
  <r>
    <x v="921"/>
    <x v="85"/>
    <x v="2"/>
    <x v="0"/>
    <n v="23037"/>
    <n v="1"/>
    <n v="23037"/>
  </r>
  <r>
    <x v="922"/>
    <x v="60"/>
    <x v="3"/>
    <x v="1"/>
    <n v="26324"/>
    <n v="6"/>
    <n v="157944"/>
  </r>
  <r>
    <x v="923"/>
    <x v="332"/>
    <x v="0"/>
    <x v="4"/>
    <n v="27301"/>
    <n v="4"/>
    <n v="109204"/>
  </r>
  <r>
    <x v="924"/>
    <x v="333"/>
    <x v="0"/>
    <x v="3"/>
    <n v="44651"/>
    <n v="3"/>
    <n v="133953"/>
  </r>
  <r>
    <x v="925"/>
    <x v="169"/>
    <x v="1"/>
    <x v="3"/>
    <n v="34293"/>
    <n v="8"/>
    <n v="274344"/>
  </r>
  <r>
    <x v="926"/>
    <x v="74"/>
    <x v="1"/>
    <x v="2"/>
    <n v="32357"/>
    <n v="7"/>
    <n v="226499"/>
  </r>
  <r>
    <x v="927"/>
    <x v="9"/>
    <x v="0"/>
    <x v="2"/>
    <n v="17646"/>
    <n v="5"/>
    <n v="88230"/>
  </r>
  <r>
    <x v="928"/>
    <x v="334"/>
    <x v="1"/>
    <x v="3"/>
    <n v="37796"/>
    <n v="5"/>
    <n v="188980"/>
  </r>
  <r>
    <x v="929"/>
    <x v="80"/>
    <x v="2"/>
    <x v="0"/>
    <n v="44767"/>
    <n v="5"/>
    <n v="223835"/>
  </r>
  <r>
    <x v="930"/>
    <x v="274"/>
    <x v="3"/>
    <x v="3"/>
    <n v="29883"/>
    <n v="8"/>
    <n v="239064"/>
  </r>
  <r>
    <x v="931"/>
    <x v="155"/>
    <x v="3"/>
    <x v="1"/>
    <n v="42542"/>
    <n v="5"/>
    <n v="212710"/>
  </r>
  <r>
    <x v="932"/>
    <x v="304"/>
    <x v="2"/>
    <x v="4"/>
    <n v="23165"/>
    <n v="2"/>
    <n v="46330"/>
  </r>
  <r>
    <x v="933"/>
    <x v="335"/>
    <x v="0"/>
    <x v="3"/>
    <n v="18021"/>
    <n v="9"/>
    <n v="162189"/>
  </r>
  <r>
    <x v="934"/>
    <x v="298"/>
    <x v="2"/>
    <x v="4"/>
    <n v="34982"/>
    <n v="5"/>
    <n v="174910"/>
  </r>
  <r>
    <x v="935"/>
    <x v="172"/>
    <x v="3"/>
    <x v="4"/>
    <n v="16841"/>
    <n v="10"/>
    <n v="168410"/>
  </r>
  <r>
    <x v="936"/>
    <x v="298"/>
    <x v="3"/>
    <x v="0"/>
    <n v="3608"/>
    <n v="9"/>
    <n v="32472"/>
  </r>
  <r>
    <x v="937"/>
    <x v="301"/>
    <x v="2"/>
    <x v="3"/>
    <n v="4302"/>
    <n v="9"/>
    <n v="38718"/>
  </r>
  <r>
    <x v="938"/>
    <x v="258"/>
    <x v="2"/>
    <x v="1"/>
    <n v="29943"/>
    <n v="1"/>
    <n v="29943"/>
  </r>
  <r>
    <x v="939"/>
    <x v="237"/>
    <x v="1"/>
    <x v="3"/>
    <n v="17344"/>
    <n v="2"/>
    <n v="34688"/>
  </r>
  <r>
    <x v="940"/>
    <x v="321"/>
    <x v="1"/>
    <x v="0"/>
    <n v="47052"/>
    <n v="10"/>
    <n v="470520"/>
  </r>
  <r>
    <x v="941"/>
    <x v="336"/>
    <x v="2"/>
    <x v="2"/>
    <n v="46689"/>
    <n v="2"/>
    <n v="93378"/>
  </r>
  <r>
    <x v="942"/>
    <x v="309"/>
    <x v="1"/>
    <x v="4"/>
    <n v="9667"/>
    <n v="1"/>
    <n v="9667"/>
  </r>
  <r>
    <x v="943"/>
    <x v="15"/>
    <x v="3"/>
    <x v="3"/>
    <n v="6377"/>
    <n v="5"/>
    <n v="31885"/>
  </r>
  <r>
    <x v="944"/>
    <x v="80"/>
    <x v="2"/>
    <x v="2"/>
    <n v="33570"/>
    <n v="10"/>
    <n v="335700"/>
  </r>
  <r>
    <x v="945"/>
    <x v="167"/>
    <x v="1"/>
    <x v="0"/>
    <n v="41394"/>
    <n v="7"/>
    <n v="289758"/>
  </r>
  <r>
    <x v="946"/>
    <x v="245"/>
    <x v="1"/>
    <x v="2"/>
    <n v="11926"/>
    <n v="1"/>
    <n v="11926"/>
  </r>
  <r>
    <x v="947"/>
    <x v="117"/>
    <x v="0"/>
    <x v="3"/>
    <n v="5734"/>
    <n v="2"/>
    <n v="11468"/>
  </r>
  <r>
    <x v="948"/>
    <x v="308"/>
    <x v="3"/>
    <x v="2"/>
    <n v="16661"/>
    <n v="2"/>
    <n v="33322"/>
  </r>
  <r>
    <x v="949"/>
    <x v="42"/>
    <x v="3"/>
    <x v="1"/>
    <n v="9664"/>
    <n v="10"/>
    <n v="96640"/>
  </r>
  <r>
    <x v="950"/>
    <x v="110"/>
    <x v="3"/>
    <x v="0"/>
    <n v="38528"/>
    <n v="8"/>
    <n v="308224"/>
  </r>
  <r>
    <x v="951"/>
    <x v="236"/>
    <x v="0"/>
    <x v="3"/>
    <n v="36719"/>
    <n v="7"/>
    <n v="257033"/>
  </r>
  <r>
    <x v="952"/>
    <x v="291"/>
    <x v="2"/>
    <x v="3"/>
    <n v="29629"/>
    <n v="8"/>
    <n v="237032"/>
  </r>
  <r>
    <x v="953"/>
    <x v="337"/>
    <x v="2"/>
    <x v="3"/>
    <n v="43929"/>
    <n v="4"/>
    <n v="175716"/>
  </r>
  <r>
    <x v="954"/>
    <x v="151"/>
    <x v="0"/>
    <x v="2"/>
    <n v="25832"/>
    <n v="8"/>
    <n v="206656"/>
  </r>
  <r>
    <x v="955"/>
    <x v="38"/>
    <x v="0"/>
    <x v="2"/>
    <n v="32766"/>
    <n v="10"/>
    <n v="327660"/>
  </r>
  <r>
    <x v="956"/>
    <x v="93"/>
    <x v="3"/>
    <x v="0"/>
    <n v="27578"/>
    <n v="7"/>
    <n v="193046"/>
  </r>
  <r>
    <x v="957"/>
    <x v="225"/>
    <x v="3"/>
    <x v="3"/>
    <n v="11062"/>
    <n v="8"/>
    <n v="88496"/>
  </r>
  <r>
    <x v="958"/>
    <x v="313"/>
    <x v="1"/>
    <x v="4"/>
    <n v="18114"/>
    <n v="2"/>
    <n v="36228"/>
  </r>
  <r>
    <x v="959"/>
    <x v="232"/>
    <x v="1"/>
    <x v="1"/>
    <n v="44443"/>
    <n v="2"/>
    <n v="88886"/>
  </r>
  <r>
    <x v="960"/>
    <x v="126"/>
    <x v="3"/>
    <x v="3"/>
    <n v="27815"/>
    <n v="9"/>
    <n v="250335"/>
  </r>
  <r>
    <x v="961"/>
    <x v="108"/>
    <x v="3"/>
    <x v="3"/>
    <n v="38974"/>
    <n v="7"/>
    <n v="272818"/>
  </r>
  <r>
    <x v="962"/>
    <x v="134"/>
    <x v="2"/>
    <x v="1"/>
    <n v="6935"/>
    <n v="2"/>
    <n v="13870"/>
  </r>
  <r>
    <x v="963"/>
    <x v="107"/>
    <x v="2"/>
    <x v="3"/>
    <n v="19841"/>
    <n v="4"/>
    <n v="79364"/>
  </r>
  <r>
    <x v="964"/>
    <x v="240"/>
    <x v="0"/>
    <x v="3"/>
    <n v="43576"/>
    <n v="10"/>
    <n v="4357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C2BC3-E9CC-4023-912E-39B9351C171F}"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Year-Month" colHeaderCaption="Select Month-Year">
  <location ref="N5:P19" firstHeaderRow="1" firstDataRow="2" firstDataCol="1"/>
  <pivotFields count="10">
    <pivotField showAll="0"/>
    <pivotField numFmtId="14" showAll="0">
      <items count="347">
        <item x="90"/>
        <item x="237"/>
        <item x="126"/>
        <item x="97"/>
        <item x="195"/>
        <item x="146"/>
        <item x="65"/>
        <item x="316"/>
        <item x="49"/>
        <item x="66"/>
        <item x="136"/>
        <item x="75"/>
        <item x="132"/>
        <item x="101"/>
        <item x="58"/>
        <item x="269"/>
        <item x="300"/>
        <item x="328"/>
        <item x="262"/>
        <item x="127"/>
        <item x="257"/>
        <item x="44"/>
        <item x="125"/>
        <item x="163"/>
        <item x="249"/>
        <item x="226"/>
        <item x="0"/>
        <item x="301"/>
        <item x="210"/>
        <item x="233"/>
        <item x="276"/>
        <item x="60"/>
        <item x="250"/>
        <item x="84"/>
        <item x="285"/>
        <item x="148"/>
        <item x="241"/>
        <item x="322"/>
        <item x="98"/>
        <item x="205"/>
        <item x="99"/>
        <item x="161"/>
        <item x="225"/>
        <item x="17"/>
        <item x="180"/>
        <item x="232"/>
        <item x="320"/>
        <item x="89"/>
        <item x="8"/>
        <item x="288"/>
        <item x="37"/>
        <item x="166"/>
        <item x="107"/>
        <item x="324"/>
        <item x="135"/>
        <item x="186"/>
        <item m="1" x="343"/>
        <item x="61"/>
        <item x="11"/>
        <item x="12"/>
        <item x="187"/>
        <item x="286"/>
        <item x="2"/>
        <item x="140"/>
        <item x="323"/>
        <item x="319"/>
        <item x="221"/>
        <item m="1" x="345"/>
        <item x="36"/>
        <item x="130"/>
        <item x="260"/>
        <item x="254"/>
        <item x="25"/>
        <item x="271"/>
        <item x="174"/>
        <item x="67"/>
        <item x="309"/>
        <item x="331"/>
        <item x="296"/>
        <item x="200"/>
        <item x="92"/>
        <item x="191"/>
        <item x="157"/>
        <item x="224"/>
        <item x="248"/>
        <item x="102"/>
        <item x="103"/>
        <item x="118"/>
        <item x="204"/>
        <item x="162"/>
        <item x="20"/>
        <item x="327"/>
        <item x="259"/>
        <item x="329"/>
        <item x="203"/>
        <item x="114"/>
        <item x="30"/>
        <item x="64"/>
        <item x="116"/>
        <item x="244"/>
        <item x="280"/>
        <item x="188"/>
        <item x="275"/>
        <item x="72"/>
        <item x="326"/>
        <item x="159"/>
        <item x="192"/>
        <item x="156"/>
        <item x="206"/>
        <item m="1" x="339"/>
        <item x="193"/>
        <item x="93"/>
        <item x="258"/>
        <item x="197"/>
        <item x="86"/>
        <item m="1" x="340"/>
        <item x="223"/>
        <item x="304"/>
        <item x="308"/>
        <item x="41"/>
        <item x="292"/>
        <item x="134"/>
        <item x="214"/>
        <item x="62"/>
        <item x="110"/>
        <item x="10"/>
        <item x="184"/>
        <item x="337"/>
        <item x="334"/>
        <item x="51"/>
        <item x="175"/>
        <item x="119"/>
        <item x="277"/>
        <item x="149"/>
        <item x="33"/>
        <item x="42"/>
        <item x="199"/>
        <item x="123"/>
        <item x="310"/>
        <item x="201"/>
        <item x="330"/>
        <item x="278"/>
        <item x="335"/>
        <item x="234"/>
        <item x="85"/>
        <item x="151"/>
        <item x="131"/>
        <item x="34"/>
        <item x="100"/>
        <item x="35"/>
        <item x="228"/>
        <item x="305"/>
        <item x="213"/>
        <item x="266"/>
        <item x="165"/>
        <item x="243"/>
        <item x="315"/>
        <item x="194"/>
        <item x="43"/>
        <item x="240"/>
        <item x="109"/>
        <item x="88"/>
        <item x="252"/>
        <item x="7"/>
        <item x="40"/>
        <item x="220"/>
        <item m="1" x="344"/>
        <item x="282"/>
        <item x="96"/>
        <item x="217"/>
        <item x="141"/>
        <item x="87"/>
        <item x="9"/>
        <item x="145"/>
        <item x="50"/>
        <item x="3"/>
        <item x="153"/>
        <item x="142"/>
        <item x="171"/>
        <item x="239"/>
        <item x="227"/>
        <item x="246"/>
        <item x="230"/>
        <item x="63"/>
        <item x="173"/>
        <item x="26"/>
        <item x="238"/>
        <item x="112"/>
        <item x="235"/>
        <item x="79"/>
        <item x="185"/>
        <item x="336"/>
        <item x="95"/>
        <item m="1" x="342"/>
        <item x="287"/>
        <item x="32"/>
        <item x="105"/>
        <item x="272"/>
        <item x="311"/>
        <item x="113"/>
        <item x="124"/>
        <item x="82"/>
        <item x="176"/>
        <item x="69"/>
        <item x="4"/>
        <item x="299"/>
        <item x="251"/>
        <item x="313"/>
        <item x="152"/>
        <item x="16"/>
        <item m="1" x="338"/>
        <item x="281"/>
        <item x="71"/>
        <item x="38"/>
        <item x="56"/>
        <item x="245"/>
        <item x="129"/>
        <item x="47"/>
        <item x="182"/>
        <item x="164"/>
        <item x="218"/>
        <item x="290"/>
        <item x="115"/>
        <item x="212"/>
        <item x="1"/>
        <item x="333"/>
        <item x="59"/>
        <item x="27"/>
        <item x="183"/>
        <item x="55"/>
        <item x="78"/>
        <item x="207"/>
        <item x="332"/>
        <item x="255"/>
        <item x="104"/>
        <item x="94"/>
        <item x="29"/>
        <item x="298"/>
        <item x="279"/>
        <item x="303"/>
        <item x="48"/>
        <item x="77"/>
        <item x="289"/>
        <item x="267"/>
        <item x="128"/>
        <item x="13"/>
        <item x="177"/>
        <item x="242"/>
        <item x="222"/>
        <item x="91"/>
        <item x="54"/>
        <item x="15"/>
        <item x="283"/>
        <item x="24"/>
        <item x="83"/>
        <item x="70"/>
        <item x="172"/>
        <item x="256"/>
        <item x="321"/>
        <item x="216"/>
        <item x="229"/>
        <item x="122"/>
        <item x="317"/>
        <item x="208"/>
        <item x="80"/>
        <item x="73"/>
        <item x="265"/>
        <item x="111"/>
        <item x="261"/>
        <item x="169"/>
        <item x="5"/>
        <item x="144"/>
        <item x="120"/>
        <item x="68"/>
        <item x="273"/>
        <item x="28"/>
        <item x="307"/>
        <item x="23"/>
        <item x="45"/>
        <item x="293"/>
        <item x="167"/>
        <item x="155"/>
        <item x="264"/>
        <item x="81"/>
        <item x="19"/>
        <item x="302"/>
        <item x="325"/>
        <item x="202"/>
        <item x="147"/>
        <item x="196"/>
        <item x="270"/>
        <item x="133"/>
        <item x="294"/>
        <item x="139"/>
        <item m="1" x="341"/>
        <item x="211"/>
        <item x="318"/>
        <item x="138"/>
        <item x="57"/>
        <item x="253"/>
        <item x="46"/>
        <item x="14"/>
        <item x="190"/>
        <item x="154"/>
        <item x="268"/>
        <item x="274"/>
        <item x="117"/>
        <item x="215"/>
        <item x="314"/>
        <item x="168"/>
        <item x="219"/>
        <item x="209"/>
        <item x="247"/>
        <item x="121"/>
        <item x="297"/>
        <item x="231"/>
        <item x="179"/>
        <item x="170"/>
        <item x="108"/>
        <item x="198"/>
        <item x="74"/>
        <item x="236"/>
        <item x="143"/>
        <item x="21"/>
        <item x="189"/>
        <item x="158"/>
        <item x="31"/>
        <item x="106"/>
        <item x="39"/>
        <item x="22"/>
        <item x="291"/>
        <item x="18"/>
        <item x="181"/>
        <item x="178"/>
        <item x="284"/>
        <item x="306"/>
        <item x="53"/>
        <item x="295"/>
        <item x="263"/>
        <item x="52"/>
        <item x="160"/>
        <item x="6"/>
        <item x="312"/>
        <item x="137"/>
        <item x="76"/>
        <item x="150"/>
        <item t="default"/>
      </items>
    </pivotField>
    <pivotField showAll="0">
      <items count="5">
        <item x="2"/>
        <item x="1"/>
        <item x="3"/>
        <item x="0"/>
        <item t="default"/>
      </items>
    </pivotField>
    <pivotField showAll="0">
      <items count="6">
        <item x="3"/>
        <item x="4"/>
        <item x="2"/>
        <item x="1"/>
        <item x="0"/>
        <item t="default"/>
      </items>
    </pivotField>
    <pivotField numFmtId="164" showAll="0"/>
    <pivotField showAll="0"/>
    <pivotField dataField="1" numFmtId="164"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7"/>
  </rowFields>
  <rowItems count="13">
    <i>
      <x v="1"/>
    </i>
    <i>
      <x v="2"/>
    </i>
    <i>
      <x v="3"/>
    </i>
    <i>
      <x v="4"/>
    </i>
    <i>
      <x v="5"/>
    </i>
    <i>
      <x v="6"/>
    </i>
    <i>
      <x v="7"/>
    </i>
    <i>
      <x v="8"/>
    </i>
    <i>
      <x v="9"/>
    </i>
    <i>
      <x v="10"/>
    </i>
    <i>
      <x v="11"/>
    </i>
    <i>
      <x v="12"/>
    </i>
    <i t="grand">
      <x/>
    </i>
  </rowItems>
  <colFields count="1">
    <field x="9"/>
  </colFields>
  <colItems count="2">
    <i>
      <x v="1"/>
    </i>
    <i>
      <x v="2"/>
    </i>
  </colItems>
  <dataFields count="1">
    <dataField name="Total Revenue" fld="6" baseField="0" baseItem="0"/>
  </dataFields>
  <formats count="6">
    <format dxfId="5">
      <pivotArea grandRow="1" outline="0" collapsedLevelsAreSubtotals="1" fieldPosition="0"/>
    </format>
    <format dxfId="4">
      <pivotArea type="all" dataOnly="0" outline="0" fieldPosition="0"/>
    </format>
    <format dxfId="3">
      <pivotArea outline="0" collapsedLevelsAreSubtotals="1" fieldPosition="0"/>
    </format>
    <format dxfId="2">
      <pivotArea field="9" type="button" dataOnly="0" labelOnly="1" outline="0" axis="axisCol" fieldPosition="0"/>
    </format>
    <format dxfId="1">
      <pivotArea dataOnly="0" labelOnly="1" grandRow="1" outline="0" fieldPosition="0"/>
    </format>
    <format dxfId="0">
      <pivotArea dataOnly="0" labelOnly="1" outline="0" axis="axisValues" fieldPosition="0"/>
    </format>
  </formats>
  <conditionalFormats count="1">
    <conditionalFormat type="all" priority="2">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9" count="1" selected="0">
            <x v="2"/>
          </reference>
        </references>
      </pivotArea>
    </chartFormat>
    <chartFormat chart="4" format="4" series="1">
      <pivotArea type="data" outline="0" fieldPosition="0">
        <references count="2">
          <reference field="4294967294" count="1" selected="0">
            <x v="0"/>
          </reference>
          <reference field="9" count="1" selected="0">
            <x v="1"/>
          </reference>
        </references>
      </pivotArea>
    </chartFormat>
    <chartFormat chart="4" format="5">
      <pivotArea type="data" outline="0" fieldPosition="0">
        <references count="3">
          <reference field="4294967294" count="1" selected="0">
            <x v="0"/>
          </reference>
          <reference field="7" count="1" selected="0">
            <x v="2"/>
          </reference>
          <reference field="9" count="1" selected="0">
            <x v="1"/>
          </reference>
        </references>
      </pivotArea>
    </chartFormat>
    <chartFormat chart="4" format="6">
      <pivotArea type="data" outline="0" fieldPosition="0">
        <references count="3">
          <reference field="4294967294" count="1" selected="0">
            <x v="0"/>
          </reference>
          <reference field="7" count="1" selected="0">
            <x v="1"/>
          </reference>
          <reference field="9" count="1" selected="0">
            <x v="1"/>
          </reference>
        </references>
      </pivotArea>
    </chartFormat>
    <chartFormat chart="4" format="7">
      <pivotArea type="data" outline="0" fieldPosition="0">
        <references count="3">
          <reference field="4294967294" count="1" selected="0">
            <x v="0"/>
          </reference>
          <reference field="7" count="1" selected="0">
            <x v="3"/>
          </reference>
          <reference field="9" count="1" selected="0">
            <x v="1"/>
          </reference>
        </references>
      </pivotArea>
    </chartFormat>
    <chartFormat chart="4" format="8">
      <pivotArea type="data" outline="0" fieldPosition="0">
        <references count="3">
          <reference field="4294967294" count="1" selected="0">
            <x v="0"/>
          </reference>
          <reference field="7" count="1" selected="0">
            <x v="4"/>
          </reference>
          <reference field="9" count="1" selected="0">
            <x v="1"/>
          </reference>
        </references>
      </pivotArea>
    </chartFormat>
    <chartFormat chart="4" format="9">
      <pivotArea type="data" outline="0" fieldPosition="0">
        <references count="3">
          <reference field="4294967294" count="1" selected="0">
            <x v="0"/>
          </reference>
          <reference field="7" count="1" selected="0">
            <x v="5"/>
          </reference>
          <reference field="9" count="1" selected="0">
            <x v="1"/>
          </reference>
        </references>
      </pivotArea>
    </chartFormat>
    <chartFormat chart="4" format="10">
      <pivotArea type="data" outline="0" fieldPosition="0">
        <references count="3">
          <reference field="4294967294" count="1" selected="0">
            <x v="0"/>
          </reference>
          <reference field="7" count="1" selected="0">
            <x v="6"/>
          </reference>
          <reference field="9" count="1" selected="0">
            <x v="1"/>
          </reference>
        </references>
      </pivotArea>
    </chartFormat>
    <chartFormat chart="4" format="11">
      <pivotArea type="data" outline="0" fieldPosition="0">
        <references count="3">
          <reference field="4294967294" count="1" selected="0">
            <x v="0"/>
          </reference>
          <reference field="7" count="1" selected="0">
            <x v="7"/>
          </reference>
          <reference field="9" count="1" selected="0">
            <x v="1"/>
          </reference>
        </references>
      </pivotArea>
    </chartFormat>
    <chartFormat chart="4" format="12">
      <pivotArea type="data" outline="0" fieldPosition="0">
        <references count="3">
          <reference field="4294967294" count="1" selected="0">
            <x v="0"/>
          </reference>
          <reference field="7" count="1" selected="0">
            <x v="8"/>
          </reference>
          <reference field="9" count="1" selected="0">
            <x v="1"/>
          </reference>
        </references>
      </pivotArea>
    </chartFormat>
    <chartFormat chart="4" format="13">
      <pivotArea type="data" outline="0" fieldPosition="0">
        <references count="3">
          <reference field="4294967294" count="1" selected="0">
            <x v="0"/>
          </reference>
          <reference field="7" count="1" selected="0">
            <x v="9"/>
          </reference>
          <reference field="9" count="1" selected="0">
            <x v="1"/>
          </reference>
        </references>
      </pivotArea>
    </chartFormat>
    <chartFormat chart="4" format="14">
      <pivotArea type="data" outline="0" fieldPosition="0">
        <references count="3">
          <reference field="4294967294" count="1" selected="0">
            <x v="0"/>
          </reference>
          <reference field="7" count="1" selected="0">
            <x v="10"/>
          </reference>
          <reference field="9" count="1" selected="0">
            <x v="1"/>
          </reference>
        </references>
      </pivotArea>
    </chartFormat>
    <chartFormat chart="4" format="15">
      <pivotArea type="data" outline="0" fieldPosition="0">
        <references count="3">
          <reference field="4294967294" count="1" selected="0">
            <x v="0"/>
          </reference>
          <reference field="7" count="1" selected="0">
            <x v="11"/>
          </reference>
          <reference field="9" count="1" selected="0">
            <x v="1"/>
          </reference>
        </references>
      </pivotArea>
    </chartFormat>
    <chartFormat chart="4" format="16">
      <pivotArea type="data" outline="0" fieldPosition="0">
        <references count="3">
          <reference field="4294967294" count="1" selected="0">
            <x v="0"/>
          </reference>
          <reference field="7" count="1" selected="0">
            <x v="12"/>
          </reference>
          <reference field="9" count="1" selected="0">
            <x v="1"/>
          </reference>
        </references>
      </pivotArea>
    </chartFormat>
    <chartFormat chart="4" format="17">
      <pivotArea type="data" outline="0" fieldPosition="0">
        <references count="3">
          <reference field="4294967294" count="1" selected="0">
            <x v="0"/>
          </reference>
          <reference field="7"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58724-482C-4108-A33E-5BEDF8F16B62}"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 Regions">
  <location ref="B5:C10" firstHeaderRow="1" firstDataRow="1" firstDataCol="1"/>
  <pivotFields count="10">
    <pivotField showAll="0"/>
    <pivotField numFmtId="14" showAll="0">
      <items count="347">
        <item x="90"/>
        <item x="237"/>
        <item x="126"/>
        <item x="97"/>
        <item x="195"/>
        <item x="146"/>
        <item x="65"/>
        <item x="316"/>
        <item x="49"/>
        <item x="66"/>
        <item x="136"/>
        <item x="75"/>
        <item x="132"/>
        <item x="101"/>
        <item x="58"/>
        <item x="269"/>
        <item x="300"/>
        <item x="328"/>
        <item x="262"/>
        <item x="127"/>
        <item x="257"/>
        <item x="44"/>
        <item x="125"/>
        <item x="163"/>
        <item x="249"/>
        <item x="226"/>
        <item x="0"/>
        <item x="301"/>
        <item x="210"/>
        <item x="233"/>
        <item x="276"/>
        <item x="60"/>
        <item x="250"/>
        <item x="84"/>
        <item x="285"/>
        <item x="148"/>
        <item x="241"/>
        <item x="322"/>
        <item x="98"/>
        <item x="205"/>
        <item x="99"/>
        <item x="161"/>
        <item x="225"/>
        <item x="17"/>
        <item x="180"/>
        <item x="232"/>
        <item x="320"/>
        <item x="89"/>
        <item x="8"/>
        <item x="288"/>
        <item x="37"/>
        <item x="166"/>
        <item x="107"/>
        <item x="324"/>
        <item x="135"/>
        <item x="186"/>
        <item m="1" x="343"/>
        <item x="61"/>
        <item x="11"/>
        <item x="12"/>
        <item x="187"/>
        <item x="286"/>
        <item x="2"/>
        <item x="140"/>
        <item x="323"/>
        <item x="319"/>
        <item x="221"/>
        <item m="1" x="345"/>
        <item x="36"/>
        <item x="130"/>
        <item x="260"/>
        <item x="254"/>
        <item x="25"/>
        <item x="271"/>
        <item x="174"/>
        <item x="67"/>
        <item x="309"/>
        <item x="331"/>
        <item x="296"/>
        <item x="200"/>
        <item x="92"/>
        <item x="191"/>
        <item x="157"/>
        <item x="224"/>
        <item x="248"/>
        <item x="102"/>
        <item x="103"/>
        <item x="118"/>
        <item x="204"/>
        <item x="162"/>
        <item x="20"/>
        <item x="327"/>
        <item x="259"/>
        <item x="329"/>
        <item x="203"/>
        <item x="114"/>
        <item x="30"/>
        <item x="64"/>
        <item x="116"/>
        <item x="244"/>
        <item x="280"/>
        <item x="188"/>
        <item x="275"/>
        <item x="72"/>
        <item x="326"/>
        <item x="159"/>
        <item x="192"/>
        <item x="156"/>
        <item x="206"/>
        <item m="1" x="339"/>
        <item x="193"/>
        <item x="93"/>
        <item x="258"/>
        <item x="197"/>
        <item x="86"/>
        <item m="1" x="340"/>
        <item x="223"/>
        <item x="304"/>
        <item x="308"/>
        <item x="41"/>
        <item x="292"/>
        <item x="134"/>
        <item x="214"/>
        <item x="62"/>
        <item x="110"/>
        <item x="10"/>
        <item x="184"/>
        <item x="337"/>
        <item x="334"/>
        <item x="51"/>
        <item x="175"/>
        <item x="119"/>
        <item x="277"/>
        <item x="149"/>
        <item x="33"/>
        <item x="42"/>
        <item x="199"/>
        <item x="123"/>
        <item x="310"/>
        <item x="201"/>
        <item x="330"/>
        <item x="278"/>
        <item x="335"/>
        <item x="234"/>
        <item x="85"/>
        <item x="151"/>
        <item x="131"/>
        <item x="34"/>
        <item x="100"/>
        <item x="35"/>
        <item x="228"/>
        <item x="305"/>
        <item x="213"/>
        <item x="266"/>
        <item x="165"/>
        <item x="243"/>
        <item x="315"/>
        <item x="194"/>
        <item x="43"/>
        <item x="240"/>
        <item x="109"/>
        <item x="88"/>
        <item x="252"/>
        <item x="7"/>
        <item x="40"/>
        <item x="220"/>
        <item m="1" x="344"/>
        <item x="282"/>
        <item x="96"/>
        <item x="217"/>
        <item x="141"/>
        <item x="87"/>
        <item x="9"/>
        <item x="145"/>
        <item x="50"/>
        <item x="3"/>
        <item x="153"/>
        <item x="142"/>
        <item x="171"/>
        <item x="239"/>
        <item x="227"/>
        <item x="246"/>
        <item x="230"/>
        <item x="63"/>
        <item x="173"/>
        <item x="26"/>
        <item x="238"/>
        <item x="112"/>
        <item x="235"/>
        <item x="79"/>
        <item x="185"/>
        <item x="336"/>
        <item x="95"/>
        <item m="1" x="342"/>
        <item x="287"/>
        <item x="32"/>
        <item x="105"/>
        <item x="272"/>
        <item x="311"/>
        <item x="113"/>
        <item x="124"/>
        <item x="82"/>
        <item x="176"/>
        <item x="69"/>
        <item x="4"/>
        <item x="299"/>
        <item x="251"/>
        <item x="313"/>
        <item x="152"/>
        <item x="16"/>
        <item m="1" x="338"/>
        <item x="281"/>
        <item x="71"/>
        <item x="38"/>
        <item x="56"/>
        <item x="245"/>
        <item x="129"/>
        <item x="47"/>
        <item x="182"/>
        <item x="164"/>
        <item x="218"/>
        <item x="290"/>
        <item x="115"/>
        <item x="212"/>
        <item x="1"/>
        <item x="333"/>
        <item x="59"/>
        <item x="27"/>
        <item x="183"/>
        <item x="55"/>
        <item x="78"/>
        <item x="207"/>
        <item x="332"/>
        <item x="255"/>
        <item x="104"/>
        <item x="94"/>
        <item x="29"/>
        <item x="298"/>
        <item x="279"/>
        <item x="303"/>
        <item x="48"/>
        <item x="77"/>
        <item x="289"/>
        <item x="267"/>
        <item x="128"/>
        <item x="13"/>
        <item x="177"/>
        <item x="242"/>
        <item x="222"/>
        <item x="91"/>
        <item x="54"/>
        <item x="15"/>
        <item x="283"/>
        <item x="24"/>
        <item x="83"/>
        <item x="70"/>
        <item x="172"/>
        <item x="256"/>
        <item x="321"/>
        <item x="216"/>
        <item x="229"/>
        <item x="122"/>
        <item x="317"/>
        <item x="208"/>
        <item x="80"/>
        <item x="73"/>
        <item x="265"/>
        <item x="111"/>
        <item x="261"/>
        <item x="169"/>
        <item x="5"/>
        <item x="144"/>
        <item x="120"/>
        <item x="68"/>
        <item x="273"/>
        <item x="28"/>
        <item x="307"/>
        <item x="23"/>
        <item x="45"/>
        <item x="293"/>
        <item x="167"/>
        <item x="155"/>
        <item x="264"/>
        <item x="81"/>
        <item x="19"/>
        <item x="302"/>
        <item x="325"/>
        <item x="202"/>
        <item x="147"/>
        <item x="196"/>
        <item x="270"/>
        <item x="133"/>
        <item x="294"/>
        <item x="139"/>
        <item m="1" x="341"/>
        <item x="211"/>
        <item x="318"/>
        <item x="138"/>
        <item x="57"/>
        <item x="253"/>
        <item x="46"/>
        <item x="14"/>
        <item x="190"/>
        <item x="154"/>
        <item x="268"/>
        <item x="274"/>
        <item x="117"/>
        <item x="215"/>
        <item x="314"/>
        <item x="168"/>
        <item x="219"/>
        <item x="209"/>
        <item x="247"/>
        <item x="121"/>
        <item x="297"/>
        <item x="231"/>
        <item x="179"/>
        <item x="170"/>
        <item x="108"/>
        <item x="198"/>
        <item x="74"/>
        <item x="236"/>
        <item x="143"/>
        <item x="21"/>
        <item x="189"/>
        <item x="158"/>
        <item x="31"/>
        <item x="106"/>
        <item x="39"/>
        <item x="22"/>
        <item x="291"/>
        <item x="18"/>
        <item x="181"/>
        <item x="178"/>
        <item x="284"/>
        <item x="306"/>
        <item x="53"/>
        <item x="295"/>
        <item x="263"/>
        <item x="52"/>
        <item x="160"/>
        <item x="6"/>
        <item x="312"/>
        <item x="137"/>
        <item x="76"/>
        <item x="15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6">
        <item x="3"/>
        <item x="4"/>
        <item x="2"/>
        <item x="1"/>
        <item x="0"/>
        <item t="default"/>
      </items>
    </pivotField>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v="1"/>
    </i>
    <i>
      <x v="3"/>
    </i>
    <i>
      <x v="2"/>
    </i>
    <i>
      <x/>
    </i>
    <i t="grand">
      <x/>
    </i>
  </rowItems>
  <colItems count="1">
    <i/>
  </colItems>
  <dataFields count="1">
    <dataField name="Total Revenue" fld="6" baseField="0" baseItem="0" numFmtId="166"/>
  </dataFields>
  <formats count="10">
    <format dxfId="15">
      <pivotArea outline="0" collapsedLevelsAreSubtotals="1" fieldPosition="0"/>
    </format>
    <format dxfId="14">
      <pivotArea type="all" dataOnly="0" outline="0" fieldPosition="0"/>
    </format>
    <format dxfId="13">
      <pivotArea outline="0" collapsedLevelsAreSubtotals="1"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D9492-F5A9-4B61-8578-0A3EE2FDA9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Month" colHeaderCaption="Select Product">
  <location ref="X7:AD21" firstHeaderRow="1" firstDataRow="2" firstDataCol="1" rowPageCount="1" colPageCount="1"/>
  <pivotFields count="10">
    <pivotField showAll="0"/>
    <pivotField numFmtId="14" showAll="0">
      <items count="347">
        <item x="90"/>
        <item x="237"/>
        <item x="126"/>
        <item x="97"/>
        <item x="195"/>
        <item x="146"/>
        <item x="65"/>
        <item x="316"/>
        <item x="49"/>
        <item x="66"/>
        <item x="136"/>
        <item x="75"/>
        <item x="132"/>
        <item x="101"/>
        <item x="58"/>
        <item x="269"/>
        <item x="300"/>
        <item x="328"/>
        <item x="262"/>
        <item x="127"/>
        <item x="257"/>
        <item x="44"/>
        <item x="125"/>
        <item x="163"/>
        <item x="249"/>
        <item x="226"/>
        <item x="0"/>
        <item x="301"/>
        <item x="210"/>
        <item x="233"/>
        <item x="276"/>
        <item x="60"/>
        <item x="250"/>
        <item x="84"/>
        <item x="285"/>
        <item x="148"/>
        <item x="241"/>
        <item x="322"/>
        <item x="98"/>
        <item x="205"/>
        <item x="99"/>
        <item x="161"/>
        <item x="225"/>
        <item x="17"/>
        <item x="180"/>
        <item x="232"/>
        <item x="320"/>
        <item x="89"/>
        <item x="8"/>
        <item x="288"/>
        <item x="37"/>
        <item x="166"/>
        <item x="107"/>
        <item x="324"/>
        <item x="135"/>
        <item x="186"/>
        <item m="1" x="343"/>
        <item x="61"/>
        <item x="11"/>
        <item x="12"/>
        <item x="187"/>
        <item x="286"/>
        <item x="2"/>
        <item x="140"/>
        <item x="323"/>
        <item x="319"/>
        <item x="221"/>
        <item m="1" x="345"/>
        <item x="36"/>
        <item x="130"/>
        <item x="260"/>
        <item x="254"/>
        <item x="25"/>
        <item x="271"/>
        <item x="174"/>
        <item x="67"/>
        <item x="309"/>
        <item x="331"/>
        <item x="296"/>
        <item x="200"/>
        <item x="92"/>
        <item x="191"/>
        <item x="157"/>
        <item x="224"/>
        <item x="248"/>
        <item x="102"/>
        <item x="103"/>
        <item x="118"/>
        <item x="204"/>
        <item x="162"/>
        <item x="20"/>
        <item x="327"/>
        <item x="259"/>
        <item x="329"/>
        <item x="203"/>
        <item x="114"/>
        <item x="30"/>
        <item x="64"/>
        <item x="116"/>
        <item x="244"/>
        <item x="280"/>
        <item x="188"/>
        <item x="275"/>
        <item x="72"/>
        <item x="326"/>
        <item x="159"/>
        <item x="192"/>
        <item x="156"/>
        <item x="206"/>
        <item m="1" x="339"/>
        <item x="193"/>
        <item x="93"/>
        <item x="258"/>
        <item x="197"/>
        <item x="86"/>
        <item m="1" x="340"/>
        <item x="223"/>
        <item x="304"/>
        <item x="308"/>
        <item x="41"/>
        <item x="292"/>
        <item x="134"/>
        <item x="214"/>
        <item x="62"/>
        <item x="110"/>
        <item x="10"/>
        <item x="184"/>
        <item x="337"/>
        <item x="334"/>
        <item x="51"/>
        <item x="175"/>
        <item x="119"/>
        <item x="277"/>
        <item x="149"/>
        <item x="33"/>
        <item x="42"/>
        <item x="199"/>
        <item x="123"/>
        <item x="310"/>
        <item x="201"/>
        <item x="330"/>
        <item x="278"/>
        <item x="335"/>
        <item x="234"/>
        <item x="85"/>
        <item x="151"/>
        <item x="131"/>
        <item x="34"/>
        <item x="100"/>
        <item x="35"/>
        <item x="228"/>
        <item x="305"/>
        <item x="213"/>
        <item x="266"/>
        <item x="165"/>
        <item x="243"/>
        <item x="315"/>
        <item x="194"/>
        <item x="43"/>
        <item x="240"/>
        <item x="109"/>
        <item x="88"/>
        <item x="252"/>
        <item x="7"/>
        <item x="40"/>
        <item x="220"/>
        <item m="1" x="344"/>
        <item x="282"/>
        <item x="96"/>
        <item x="217"/>
        <item x="141"/>
        <item x="87"/>
        <item x="9"/>
        <item x="145"/>
        <item x="50"/>
        <item x="3"/>
        <item x="153"/>
        <item x="142"/>
        <item x="171"/>
        <item x="239"/>
        <item x="227"/>
        <item x="246"/>
        <item x="230"/>
        <item x="63"/>
        <item x="173"/>
        <item x="26"/>
        <item x="238"/>
        <item x="112"/>
        <item x="235"/>
        <item x="79"/>
        <item x="185"/>
        <item x="336"/>
        <item x="95"/>
        <item m="1" x="342"/>
        <item x="287"/>
        <item x="32"/>
        <item x="105"/>
        <item x="272"/>
        <item x="311"/>
        <item x="113"/>
        <item x="124"/>
        <item x="82"/>
        <item x="176"/>
        <item x="69"/>
        <item x="4"/>
        <item x="299"/>
        <item x="251"/>
        <item x="313"/>
        <item x="152"/>
        <item x="16"/>
        <item m="1" x="338"/>
        <item x="281"/>
        <item x="71"/>
        <item x="38"/>
        <item x="56"/>
        <item x="245"/>
        <item x="129"/>
        <item x="47"/>
        <item x="182"/>
        <item x="164"/>
        <item x="218"/>
        <item x="290"/>
        <item x="115"/>
        <item x="212"/>
        <item x="1"/>
        <item x="333"/>
        <item x="59"/>
        <item x="27"/>
        <item x="183"/>
        <item x="55"/>
        <item x="78"/>
        <item x="207"/>
        <item x="332"/>
        <item x="255"/>
        <item x="104"/>
        <item x="94"/>
        <item x="29"/>
        <item x="298"/>
        <item x="279"/>
        <item x="303"/>
        <item x="48"/>
        <item x="77"/>
        <item x="289"/>
        <item x="267"/>
        <item x="128"/>
        <item x="13"/>
        <item x="177"/>
        <item x="242"/>
        <item x="222"/>
        <item x="91"/>
        <item x="54"/>
        <item x="15"/>
        <item x="283"/>
        <item x="24"/>
        <item x="83"/>
        <item x="70"/>
        <item x="172"/>
        <item x="256"/>
        <item x="321"/>
        <item x="216"/>
        <item x="229"/>
        <item x="122"/>
        <item x="317"/>
        <item x="208"/>
        <item x="80"/>
        <item x="73"/>
        <item x="265"/>
        <item x="111"/>
        <item x="261"/>
        <item x="169"/>
        <item x="5"/>
        <item x="144"/>
        <item x="120"/>
        <item x="68"/>
        <item x="273"/>
        <item x="28"/>
        <item x="307"/>
        <item x="23"/>
        <item x="45"/>
        <item x="293"/>
        <item x="167"/>
        <item x="155"/>
        <item x="264"/>
        <item x="81"/>
        <item x="19"/>
        <item x="302"/>
        <item x="325"/>
        <item x="202"/>
        <item x="147"/>
        <item x="196"/>
        <item x="270"/>
        <item x="133"/>
        <item x="294"/>
        <item x="139"/>
        <item m="1" x="341"/>
        <item x="211"/>
        <item x="318"/>
        <item x="138"/>
        <item x="57"/>
        <item x="253"/>
        <item x="46"/>
        <item x="14"/>
        <item x="190"/>
        <item x="154"/>
        <item x="268"/>
        <item x="274"/>
        <item x="117"/>
        <item x="215"/>
        <item x="314"/>
        <item x="168"/>
        <item x="219"/>
        <item x="209"/>
        <item x="247"/>
        <item x="121"/>
        <item x="297"/>
        <item x="231"/>
        <item x="179"/>
        <item x="170"/>
        <item x="108"/>
        <item x="198"/>
        <item x="74"/>
        <item x="236"/>
        <item x="143"/>
        <item x="21"/>
        <item x="189"/>
        <item x="158"/>
        <item x="31"/>
        <item x="106"/>
        <item x="39"/>
        <item x="22"/>
        <item x="291"/>
        <item x="18"/>
        <item x="181"/>
        <item x="178"/>
        <item x="284"/>
        <item x="306"/>
        <item x="53"/>
        <item x="295"/>
        <item x="263"/>
        <item x="52"/>
        <item x="160"/>
        <item x="6"/>
        <item x="312"/>
        <item x="137"/>
        <item x="76"/>
        <item x="150"/>
        <item t="default"/>
      </items>
    </pivotField>
    <pivotField showAll="0"/>
    <pivotField axis="axisCol" showAll="0">
      <items count="6">
        <item x="3"/>
        <item x="4"/>
        <item x="2"/>
        <item x="1"/>
        <item x="0"/>
        <item t="default"/>
      </items>
    </pivotField>
    <pivotField dataField="1" numFmtId="164"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name="Month-Year" axis="axisPage" showAll="0" defaultSubtotal="0">
      <items count="4">
        <item x="0"/>
        <item x="1"/>
        <item x="2"/>
        <item x="3"/>
      </items>
    </pivotField>
  </pivotFields>
  <rowFields count="1">
    <field x="7"/>
  </rowFields>
  <rowItems count="13">
    <i>
      <x v="1"/>
    </i>
    <i>
      <x v="2"/>
    </i>
    <i>
      <x v="3"/>
    </i>
    <i>
      <x v="4"/>
    </i>
    <i>
      <x v="5"/>
    </i>
    <i>
      <x v="6"/>
    </i>
    <i>
      <x v="7"/>
    </i>
    <i>
      <x v="8"/>
    </i>
    <i>
      <x v="9"/>
    </i>
    <i>
      <x v="10"/>
    </i>
    <i>
      <x v="11"/>
    </i>
    <i>
      <x v="12"/>
    </i>
    <i t="grand">
      <x/>
    </i>
  </rowItems>
  <colFields count="1">
    <field x="3"/>
  </colFields>
  <colItems count="6">
    <i>
      <x/>
    </i>
    <i>
      <x v="1"/>
    </i>
    <i>
      <x v="2"/>
    </i>
    <i>
      <x v="3"/>
    </i>
    <i>
      <x v="4"/>
    </i>
    <i t="grand">
      <x/>
    </i>
  </colItems>
  <pageFields count="1">
    <pageField fld="9" hier="-1"/>
  </pageFields>
  <dataFields count="1">
    <dataField name="product wise count" fld="4" subtotal="count"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2E4407-B799-47F0-8D16-BCCACA7D15F4}"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Month" colHeaderCaption="Select Month-Year">
  <location ref="S5:U19" firstHeaderRow="1" firstDataRow="2" firstDataCol="1"/>
  <pivotFields count="10">
    <pivotField showAll="0"/>
    <pivotField numFmtId="14" showAll="0">
      <items count="347">
        <item x="90"/>
        <item x="237"/>
        <item x="126"/>
        <item x="97"/>
        <item x="195"/>
        <item x="146"/>
        <item x="65"/>
        <item x="316"/>
        <item x="49"/>
        <item x="66"/>
        <item x="136"/>
        <item x="75"/>
        <item x="132"/>
        <item x="101"/>
        <item x="58"/>
        <item x="269"/>
        <item x="300"/>
        <item x="328"/>
        <item x="262"/>
        <item x="127"/>
        <item x="257"/>
        <item x="44"/>
        <item x="125"/>
        <item x="163"/>
        <item x="249"/>
        <item x="226"/>
        <item x="0"/>
        <item x="301"/>
        <item x="210"/>
        <item x="233"/>
        <item x="276"/>
        <item x="60"/>
        <item x="250"/>
        <item x="84"/>
        <item x="285"/>
        <item x="148"/>
        <item x="241"/>
        <item x="322"/>
        <item x="98"/>
        <item x="205"/>
        <item x="99"/>
        <item x="161"/>
        <item x="225"/>
        <item x="17"/>
        <item x="180"/>
        <item x="232"/>
        <item x="320"/>
        <item x="89"/>
        <item x="8"/>
        <item x="288"/>
        <item x="37"/>
        <item x="166"/>
        <item x="107"/>
        <item x="324"/>
        <item x="135"/>
        <item x="186"/>
        <item m="1" x="343"/>
        <item x="61"/>
        <item x="11"/>
        <item x="12"/>
        <item x="187"/>
        <item x="286"/>
        <item x="2"/>
        <item x="140"/>
        <item x="323"/>
        <item x="319"/>
        <item x="221"/>
        <item m="1" x="345"/>
        <item x="36"/>
        <item x="130"/>
        <item x="260"/>
        <item x="254"/>
        <item x="25"/>
        <item x="271"/>
        <item x="174"/>
        <item x="67"/>
        <item x="309"/>
        <item x="331"/>
        <item x="296"/>
        <item x="200"/>
        <item x="92"/>
        <item x="191"/>
        <item x="157"/>
        <item x="224"/>
        <item x="248"/>
        <item x="102"/>
        <item x="103"/>
        <item x="118"/>
        <item x="204"/>
        <item x="162"/>
        <item x="20"/>
        <item x="327"/>
        <item x="259"/>
        <item x="329"/>
        <item x="203"/>
        <item x="114"/>
        <item x="30"/>
        <item x="64"/>
        <item x="116"/>
        <item x="244"/>
        <item x="280"/>
        <item x="188"/>
        <item x="275"/>
        <item x="72"/>
        <item x="326"/>
        <item x="159"/>
        <item x="192"/>
        <item x="156"/>
        <item x="206"/>
        <item m="1" x="339"/>
        <item x="193"/>
        <item x="93"/>
        <item x="258"/>
        <item x="197"/>
        <item x="86"/>
        <item m="1" x="340"/>
        <item x="223"/>
        <item x="304"/>
        <item x="308"/>
        <item x="41"/>
        <item x="292"/>
        <item x="134"/>
        <item x="214"/>
        <item x="62"/>
        <item x="110"/>
        <item x="10"/>
        <item x="184"/>
        <item x="337"/>
        <item x="334"/>
        <item x="51"/>
        <item x="175"/>
        <item x="119"/>
        <item x="277"/>
        <item x="149"/>
        <item x="33"/>
        <item x="42"/>
        <item x="199"/>
        <item x="123"/>
        <item x="310"/>
        <item x="201"/>
        <item x="330"/>
        <item x="278"/>
        <item x="335"/>
        <item x="234"/>
        <item x="85"/>
        <item x="151"/>
        <item x="131"/>
        <item x="34"/>
        <item x="100"/>
        <item x="35"/>
        <item x="228"/>
        <item x="305"/>
        <item x="213"/>
        <item x="266"/>
        <item x="165"/>
        <item x="243"/>
        <item x="315"/>
        <item x="194"/>
        <item x="43"/>
        <item x="240"/>
        <item x="109"/>
        <item x="88"/>
        <item x="252"/>
        <item x="7"/>
        <item x="40"/>
        <item x="220"/>
        <item m="1" x="344"/>
        <item x="282"/>
        <item x="96"/>
        <item x="217"/>
        <item x="141"/>
        <item x="87"/>
        <item x="9"/>
        <item x="145"/>
        <item x="50"/>
        <item x="3"/>
        <item x="153"/>
        <item x="142"/>
        <item x="171"/>
        <item x="239"/>
        <item x="227"/>
        <item x="246"/>
        <item x="230"/>
        <item x="63"/>
        <item x="173"/>
        <item x="26"/>
        <item x="238"/>
        <item x="112"/>
        <item x="235"/>
        <item x="79"/>
        <item x="185"/>
        <item x="336"/>
        <item x="95"/>
        <item m="1" x="342"/>
        <item x="287"/>
        <item x="32"/>
        <item x="105"/>
        <item x="272"/>
        <item x="311"/>
        <item x="113"/>
        <item x="124"/>
        <item x="82"/>
        <item x="176"/>
        <item x="69"/>
        <item x="4"/>
        <item x="299"/>
        <item x="251"/>
        <item x="313"/>
        <item x="152"/>
        <item x="16"/>
        <item m="1" x="338"/>
        <item x="281"/>
        <item x="71"/>
        <item x="38"/>
        <item x="56"/>
        <item x="245"/>
        <item x="129"/>
        <item x="47"/>
        <item x="182"/>
        <item x="164"/>
        <item x="218"/>
        <item x="290"/>
        <item x="115"/>
        <item x="212"/>
        <item x="1"/>
        <item x="333"/>
        <item x="59"/>
        <item x="27"/>
        <item x="183"/>
        <item x="55"/>
        <item x="78"/>
        <item x="207"/>
        <item x="332"/>
        <item x="255"/>
        <item x="104"/>
        <item x="94"/>
        <item x="29"/>
        <item x="298"/>
        <item x="279"/>
        <item x="303"/>
        <item x="48"/>
        <item x="77"/>
        <item x="289"/>
        <item x="267"/>
        <item x="128"/>
        <item x="13"/>
        <item x="177"/>
        <item x="242"/>
        <item x="222"/>
        <item x="91"/>
        <item x="54"/>
        <item x="15"/>
        <item x="283"/>
        <item x="24"/>
        <item x="83"/>
        <item x="70"/>
        <item x="172"/>
        <item x="256"/>
        <item x="321"/>
        <item x="216"/>
        <item x="229"/>
        <item x="122"/>
        <item x="317"/>
        <item x="208"/>
        <item x="80"/>
        <item x="73"/>
        <item x="265"/>
        <item x="111"/>
        <item x="261"/>
        <item x="169"/>
        <item x="5"/>
        <item x="144"/>
        <item x="120"/>
        <item x="68"/>
        <item x="273"/>
        <item x="28"/>
        <item x="307"/>
        <item x="23"/>
        <item x="45"/>
        <item x="293"/>
        <item x="167"/>
        <item x="155"/>
        <item x="264"/>
        <item x="81"/>
        <item x="19"/>
        <item x="302"/>
        <item x="325"/>
        <item x="202"/>
        <item x="147"/>
        <item x="196"/>
        <item x="270"/>
        <item x="133"/>
        <item x="294"/>
        <item x="139"/>
        <item m="1" x="341"/>
        <item x="211"/>
        <item x="318"/>
        <item x="138"/>
        <item x="57"/>
        <item x="253"/>
        <item x="46"/>
        <item x="14"/>
        <item x="190"/>
        <item x="154"/>
        <item x="268"/>
        <item x="274"/>
        <item x="117"/>
        <item x="215"/>
        <item x="314"/>
        <item x="168"/>
        <item x="219"/>
        <item x="209"/>
        <item x="247"/>
        <item x="121"/>
        <item x="297"/>
        <item x="231"/>
        <item x="179"/>
        <item x="170"/>
        <item x="108"/>
        <item x="198"/>
        <item x="74"/>
        <item x="236"/>
        <item x="143"/>
        <item x="21"/>
        <item x="189"/>
        <item x="158"/>
        <item x="31"/>
        <item x="106"/>
        <item x="39"/>
        <item x="22"/>
        <item x="291"/>
        <item x="18"/>
        <item x="181"/>
        <item x="178"/>
        <item x="284"/>
        <item x="306"/>
        <item x="53"/>
        <item x="295"/>
        <item x="263"/>
        <item x="52"/>
        <item x="160"/>
        <item x="6"/>
        <item x="312"/>
        <item x="137"/>
        <item x="76"/>
        <item x="150"/>
        <item t="default"/>
      </items>
    </pivotField>
    <pivotField showAll="0">
      <items count="5">
        <item x="2"/>
        <item x="1"/>
        <item x="3"/>
        <item x="0"/>
        <item t="default"/>
      </items>
    </pivotField>
    <pivotField showAll="0">
      <items count="6">
        <item x="3"/>
        <item x="4"/>
        <item x="2"/>
        <item x="1"/>
        <item x="0"/>
        <item t="default"/>
      </items>
    </pivotField>
    <pivotField dataField="1" numFmtId="164"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7"/>
  </rowFields>
  <rowItems count="13">
    <i>
      <x v="1"/>
    </i>
    <i>
      <x v="2"/>
    </i>
    <i>
      <x v="3"/>
    </i>
    <i>
      <x v="4"/>
    </i>
    <i>
      <x v="5"/>
    </i>
    <i>
      <x v="6"/>
    </i>
    <i>
      <x v="7"/>
    </i>
    <i>
      <x v="8"/>
    </i>
    <i>
      <x v="9"/>
    </i>
    <i>
      <x v="10"/>
    </i>
    <i>
      <x v="11"/>
    </i>
    <i>
      <x v="12"/>
    </i>
    <i t="grand">
      <x/>
    </i>
  </rowItems>
  <colFields count="1">
    <field x="9"/>
  </colFields>
  <colItems count="2">
    <i>
      <x v="1"/>
    </i>
    <i>
      <x v="2"/>
    </i>
  </colItems>
  <dataFields count="1">
    <dataField name="Count of Orders" fld="4" subtotal="count" baseField="7" baseItem="1"/>
  </dataFields>
  <conditionalFormats count="1">
    <conditionalFormat type="all" priority="1">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94E1E-81B0-4FB0-8B91-5E2C857211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J5:K11" firstHeaderRow="1" firstDataRow="1" firstDataCol="1"/>
  <pivotFields count="10">
    <pivotField dataField="1" showAll="0">
      <items count="966">
        <item x="0"/>
        <item x="88"/>
        <item x="803"/>
        <item x="804"/>
        <item x="805"/>
        <item x="806"/>
        <item x="807"/>
        <item x="808"/>
        <item x="809"/>
        <item x="810"/>
        <item x="811"/>
        <item x="89"/>
        <item x="812"/>
        <item x="813"/>
        <item x="814"/>
        <item x="815"/>
        <item x="816"/>
        <item x="817"/>
        <item x="818"/>
        <item x="819"/>
        <item x="90"/>
        <item x="820"/>
        <item x="821"/>
        <item x="822"/>
        <item x="823"/>
        <item x="824"/>
        <item x="825"/>
        <item x="826"/>
        <item x="827"/>
        <item x="828"/>
        <item x="829"/>
        <item x="830"/>
        <item x="831"/>
        <item x="832"/>
        <item x="833"/>
        <item x="834"/>
        <item x="835"/>
        <item x="836"/>
        <item x="837"/>
        <item x="838"/>
        <item x="91"/>
        <item x="839"/>
        <item x="840"/>
        <item x="841"/>
        <item x="842"/>
        <item x="843"/>
        <item x="844"/>
        <item x="845"/>
        <item x="846"/>
        <item x="847"/>
        <item x="848"/>
        <item x="92"/>
        <item x="849"/>
        <item x="850"/>
        <item x="851"/>
        <item x="852"/>
        <item x="853"/>
        <item x="854"/>
        <item x="855"/>
        <item x="856"/>
        <item x="93"/>
        <item x="857"/>
        <item x="858"/>
        <item x="859"/>
        <item x="860"/>
        <item x="861"/>
        <item x="862"/>
        <item x="863"/>
        <item x="864"/>
        <item x="94"/>
        <item x="865"/>
        <item x="866"/>
        <item x="867"/>
        <item x="868"/>
        <item x="869"/>
        <item x="870"/>
        <item x="871"/>
        <item x="872"/>
        <item x="873"/>
        <item x="874"/>
        <item x="875"/>
        <item x="876"/>
        <item x="877"/>
        <item x="878"/>
        <item x="95"/>
        <item x="879"/>
        <item x="880"/>
        <item x="881"/>
        <item x="882"/>
        <item x="883"/>
        <item x="884"/>
        <item x="885"/>
        <item x="9"/>
        <item x="96"/>
        <item x="886"/>
        <item x="887"/>
        <item x="888"/>
        <item x="889"/>
        <item x="890"/>
        <item x="891"/>
        <item x="892"/>
        <item x="893"/>
        <item x="894"/>
        <item x="895"/>
        <item x="896"/>
        <item x="897"/>
        <item x="898"/>
        <item x="97"/>
        <item x="899"/>
        <item x="900"/>
        <item x="901"/>
        <item x="902"/>
        <item x="903"/>
        <item x="904"/>
        <item x="905"/>
        <item x="906"/>
        <item x="98"/>
        <item x="907"/>
        <item x="908"/>
        <item x="909"/>
        <item x="910"/>
        <item x="911"/>
        <item x="912"/>
        <item x="913"/>
        <item x="914"/>
        <item x="915"/>
        <item x="99"/>
        <item x="916"/>
        <item x="917"/>
        <item x="918"/>
        <item x="919"/>
        <item x="920"/>
        <item x="921"/>
        <item x="922"/>
        <item x="923"/>
        <item x="924"/>
        <item x="100"/>
        <item x="925"/>
        <item x="926"/>
        <item x="927"/>
        <item x="928"/>
        <item x="929"/>
        <item x="930"/>
        <item x="931"/>
        <item x="932"/>
        <item x="933"/>
        <item x="101"/>
        <item x="934"/>
        <item x="935"/>
        <item x="936"/>
        <item x="937"/>
        <item x="938"/>
        <item x="939"/>
        <item x="940"/>
        <item x="941"/>
        <item x="942"/>
        <item x="943"/>
        <item x="944"/>
        <item x="945"/>
        <item x="946"/>
        <item x="947"/>
        <item x="948"/>
        <item x="102"/>
        <item x="949"/>
        <item x="950"/>
        <item x="951"/>
        <item x="952"/>
        <item x="953"/>
        <item x="954"/>
        <item x="955"/>
        <item x="956"/>
        <item x="957"/>
        <item x="103"/>
        <item x="958"/>
        <item x="959"/>
        <item x="960"/>
        <item x="961"/>
        <item x="962"/>
        <item x="963"/>
        <item x="964"/>
        <item x="104"/>
        <item x="105"/>
        <item x="106"/>
        <item x="107"/>
        <item x="108"/>
        <item x="109"/>
        <item x="110"/>
        <item x="10"/>
        <item x="111"/>
        <item x="112"/>
        <item x="113"/>
        <item x="114"/>
        <item x="115"/>
        <item x="116"/>
        <item x="11"/>
        <item x="117"/>
        <item x="118"/>
        <item x="119"/>
        <item x="120"/>
        <item x="121"/>
        <item x="122"/>
        <item x="123"/>
        <item x="12"/>
        <item x="124"/>
        <item x="125"/>
        <item x="126"/>
        <item x="127"/>
        <item x="128"/>
        <item x="129"/>
        <item x="130"/>
        <item x="13"/>
        <item x="131"/>
        <item x="132"/>
        <item x="133"/>
        <item x="134"/>
        <item x="135"/>
        <item x="136"/>
        <item x="137"/>
        <item x="138"/>
        <item x="139"/>
        <item x="140"/>
        <item x="14"/>
        <item x="141"/>
        <item x="142"/>
        <item x="143"/>
        <item x="144"/>
        <item x="145"/>
        <item x="146"/>
        <item x="147"/>
        <item x="148"/>
        <item x="149"/>
        <item x="150"/>
        <item x="151"/>
        <item x="152"/>
        <item x="153"/>
        <item x="15"/>
        <item x="154"/>
        <item x="155"/>
        <item x="156"/>
        <item x="157"/>
        <item x="158"/>
        <item x="159"/>
        <item x="160"/>
        <item x="161"/>
        <item x="1"/>
        <item x="16"/>
        <item x="162"/>
        <item x="163"/>
        <item x="164"/>
        <item x="165"/>
        <item x="166"/>
        <item x="167"/>
        <item x="168"/>
        <item x="17"/>
        <item x="169"/>
        <item x="170"/>
        <item x="171"/>
        <item x="172"/>
        <item x="173"/>
        <item x="174"/>
        <item x="175"/>
        <item x="176"/>
        <item x="177"/>
        <item x="18"/>
        <item x="178"/>
        <item x="179"/>
        <item x="180"/>
        <item x="181"/>
        <item x="182"/>
        <item x="183"/>
        <item x="184"/>
        <item x="185"/>
        <item x="19"/>
        <item x="186"/>
        <item x="187"/>
        <item x="188"/>
        <item x="189"/>
        <item x="190"/>
        <item x="191"/>
        <item x="20"/>
        <item x="192"/>
        <item x="193"/>
        <item x="194"/>
        <item x="195"/>
        <item x="196"/>
        <item x="197"/>
        <item x="198"/>
        <item x="199"/>
        <item x="200"/>
        <item x="201"/>
        <item x="202"/>
        <item x="203"/>
        <item x="204"/>
        <item x="205"/>
        <item x="206"/>
        <item x="207"/>
        <item x="208"/>
        <item x="21"/>
        <item x="209"/>
        <item x="210"/>
        <item x="211"/>
        <item x="212"/>
        <item x="213"/>
        <item x="214"/>
        <item x="215"/>
        <item x="216"/>
        <item x="217"/>
        <item x="22"/>
        <item x="218"/>
        <item x="219"/>
        <item x="220"/>
        <item x="221"/>
        <item x="222"/>
        <item x="223"/>
        <item x="224"/>
        <item x="225"/>
        <item x="226"/>
        <item x="23"/>
        <item x="227"/>
        <item x="228"/>
        <item x="229"/>
        <item x="230"/>
        <item x="231"/>
        <item x="232"/>
        <item x="233"/>
        <item x="24"/>
        <item x="234"/>
        <item x="235"/>
        <item x="236"/>
        <item x="237"/>
        <item x="238"/>
        <item x="239"/>
        <item x="240"/>
        <item x="2"/>
        <item x="25"/>
        <item x="241"/>
        <item x="242"/>
        <item x="243"/>
        <item x="244"/>
        <item x="245"/>
        <item x="246"/>
        <item x="247"/>
        <item x="26"/>
        <item x="248"/>
        <item x="249"/>
        <item x="250"/>
        <item x="251"/>
        <item x="252"/>
        <item x="253"/>
        <item x="254"/>
        <item x="255"/>
        <item x="256"/>
        <item x="27"/>
        <item x="257"/>
        <item x="258"/>
        <item x="259"/>
        <item x="260"/>
        <item x="261"/>
        <item x="262"/>
        <item x="263"/>
        <item x="264"/>
        <item x="265"/>
        <item x="28"/>
        <item x="266"/>
        <item x="267"/>
        <item x="268"/>
        <item x="269"/>
        <item x="270"/>
        <item x="271"/>
        <item x="272"/>
        <item x="273"/>
        <item x="274"/>
        <item x="275"/>
        <item x="276"/>
        <item x="277"/>
        <item x="278"/>
        <item x="279"/>
        <item x="280"/>
        <item x="281"/>
        <item x="29"/>
        <item x="282"/>
        <item x="283"/>
        <item x="284"/>
        <item x="285"/>
        <item x="286"/>
        <item x="287"/>
        <item x="288"/>
        <item x="30"/>
        <item x="289"/>
        <item x="290"/>
        <item x="291"/>
        <item x="292"/>
        <item x="293"/>
        <item x="294"/>
        <item x="295"/>
        <item x="31"/>
        <item x="296"/>
        <item x="297"/>
        <item x="298"/>
        <item x="299"/>
        <item x="300"/>
        <item x="301"/>
        <item x="32"/>
        <item x="302"/>
        <item x="303"/>
        <item x="304"/>
        <item x="305"/>
        <item x="306"/>
        <item x="307"/>
        <item x="308"/>
        <item x="33"/>
        <item x="309"/>
        <item x="310"/>
        <item x="311"/>
        <item x="312"/>
        <item x="313"/>
        <item x="314"/>
        <item x="315"/>
        <item x="316"/>
        <item x="317"/>
        <item x="318"/>
        <item x="3"/>
        <item x="34"/>
        <item x="319"/>
        <item x="320"/>
        <item x="321"/>
        <item x="322"/>
        <item x="323"/>
        <item x="324"/>
        <item x="325"/>
        <item x="326"/>
        <item x="35"/>
        <item x="327"/>
        <item x="328"/>
        <item x="329"/>
        <item x="330"/>
        <item x="331"/>
        <item x="332"/>
        <item x="333"/>
        <item x="334"/>
        <item x="36"/>
        <item x="335"/>
        <item x="336"/>
        <item x="337"/>
        <item x="338"/>
        <item x="339"/>
        <item x="340"/>
        <item x="341"/>
        <item x="342"/>
        <item x="37"/>
        <item x="343"/>
        <item x="344"/>
        <item x="345"/>
        <item x="346"/>
        <item x="347"/>
        <item x="348"/>
        <item x="349"/>
        <item x="350"/>
        <item x="351"/>
        <item x="38"/>
        <item x="352"/>
        <item x="353"/>
        <item x="354"/>
        <item x="355"/>
        <item x="356"/>
        <item x="357"/>
        <item x="358"/>
        <item x="39"/>
        <item x="359"/>
        <item x="360"/>
        <item x="361"/>
        <item x="362"/>
        <item x="363"/>
        <item x="364"/>
        <item x="365"/>
        <item x="366"/>
        <item x="367"/>
        <item x="40"/>
        <item x="368"/>
        <item x="369"/>
        <item x="370"/>
        <item x="371"/>
        <item x="372"/>
        <item x="373"/>
        <item x="41"/>
        <item x="374"/>
        <item x="375"/>
        <item x="376"/>
        <item x="377"/>
        <item x="378"/>
        <item x="379"/>
        <item x="380"/>
        <item x="381"/>
        <item x="42"/>
        <item x="382"/>
        <item x="383"/>
        <item x="384"/>
        <item x="385"/>
        <item x="386"/>
        <item x="387"/>
        <item x="388"/>
        <item x="389"/>
        <item x="390"/>
        <item x="391"/>
        <item x="392"/>
        <item x="393"/>
        <item x="394"/>
        <item x="395"/>
        <item x="396"/>
        <item x="397"/>
        <item x="4"/>
        <item x="43"/>
        <item x="398"/>
        <item x="399"/>
        <item x="400"/>
        <item x="401"/>
        <item x="402"/>
        <item x="403"/>
        <item x="44"/>
        <item x="404"/>
        <item x="405"/>
        <item x="406"/>
        <item x="407"/>
        <item x="408"/>
        <item x="409"/>
        <item x="410"/>
        <item x="411"/>
        <item x="412"/>
        <item x="45"/>
        <item x="413"/>
        <item x="414"/>
        <item x="415"/>
        <item x="416"/>
        <item x="417"/>
        <item x="418"/>
        <item x="419"/>
        <item x="46"/>
        <item x="420"/>
        <item x="421"/>
        <item x="422"/>
        <item x="423"/>
        <item x="424"/>
        <item x="425"/>
        <item x="47"/>
        <item x="426"/>
        <item x="427"/>
        <item x="428"/>
        <item x="429"/>
        <item x="430"/>
        <item x="431"/>
        <item x="432"/>
        <item x="433"/>
        <item x="434"/>
        <item x="435"/>
        <item x="48"/>
        <item x="436"/>
        <item x="437"/>
        <item x="438"/>
        <item x="439"/>
        <item x="440"/>
        <item x="441"/>
        <item x="442"/>
        <item x="49"/>
        <item x="443"/>
        <item x="444"/>
        <item x="445"/>
        <item x="446"/>
        <item x="447"/>
        <item x="448"/>
        <item x="449"/>
        <item x="450"/>
        <item x="50"/>
        <item x="451"/>
        <item x="452"/>
        <item x="453"/>
        <item x="454"/>
        <item x="455"/>
        <item x="456"/>
        <item x="457"/>
        <item x="458"/>
        <item x="459"/>
        <item x="460"/>
        <item x="461"/>
        <item x="462"/>
        <item x="463"/>
        <item x="464"/>
        <item x="465"/>
        <item x="466"/>
        <item x="51"/>
        <item x="467"/>
        <item x="468"/>
        <item x="469"/>
        <item x="470"/>
        <item x="471"/>
        <item x="472"/>
        <item x="473"/>
        <item x="474"/>
        <item x="5"/>
        <item x="52"/>
        <item x="475"/>
        <item x="476"/>
        <item x="477"/>
        <item x="478"/>
        <item x="479"/>
        <item x="480"/>
        <item x="481"/>
        <item x="482"/>
        <item x="53"/>
        <item x="483"/>
        <item x="484"/>
        <item x="485"/>
        <item x="486"/>
        <item x="487"/>
        <item x="488"/>
        <item x="489"/>
        <item x="490"/>
        <item x="491"/>
        <item x="54"/>
        <item x="492"/>
        <item x="493"/>
        <item x="494"/>
        <item x="495"/>
        <item x="496"/>
        <item x="497"/>
        <item x="498"/>
        <item x="499"/>
        <item x="500"/>
        <item x="501"/>
        <item x="502"/>
        <item x="503"/>
        <item x="504"/>
        <item x="505"/>
        <item x="506"/>
        <item x="507"/>
        <item x="508"/>
        <item x="509"/>
        <item x="55"/>
        <item x="510"/>
        <item x="511"/>
        <item x="512"/>
        <item x="513"/>
        <item x="514"/>
        <item x="515"/>
        <item x="516"/>
        <item x="56"/>
        <item x="517"/>
        <item x="518"/>
        <item x="519"/>
        <item x="520"/>
        <item x="521"/>
        <item x="522"/>
        <item x="523"/>
        <item x="524"/>
        <item x="525"/>
        <item x="57"/>
        <item x="526"/>
        <item x="527"/>
        <item x="528"/>
        <item x="529"/>
        <item x="530"/>
        <item x="531"/>
        <item x="532"/>
        <item x="533"/>
        <item x="58"/>
        <item x="534"/>
        <item x="535"/>
        <item x="536"/>
        <item x="537"/>
        <item x="538"/>
        <item x="539"/>
        <item x="540"/>
        <item x="541"/>
        <item x="542"/>
        <item x="543"/>
        <item x="59"/>
        <item x="544"/>
        <item x="545"/>
        <item x="546"/>
        <item x="547"/>
        <item x="548"/>
        <item x="549"/>
        <item x="550"/>
        <item x="551"/>
        <item x="552"/>
        <item x="60"/>
        <item x="553"/>
        <item x="554"/>
        <item x="555"/>
        <item x="556"/>
        <item x="557"/>
        <item x="558"/>
        <item x="559"/>
        <item x="560"/>
        <item x="6"/>
        <item x="61"/>
        <item x="561"/>
        <item x="562"/>
        <item x="563"/>
        <item x="564"/>
        <item x="565"/>
        <item x="566"/>
        <item x="567"/>
        <item x="62"/>
        <item x="568"/>
        <item x="569"/>
        <item x="570"/>
        <item x="571"/>
        <item x="572"/>
        <item x="573"/>
        <item x="574"/>
        <item x="575"/>
        <item x="576"/>
        <item x="63"/>
        <item x="577"/>
        <item x="578"/>
        <item x="579"/>
        <item x="580"/>
        <item x="581"/>
        <item x="582"/>
        <item x="583"/>
        <item x="64"/>
        <item x="584"/>
        <item x="585"/>
        <item x="586"/>
        <item x="587"/>
        <item x="588"/>
        <item x="65"/>
        <item x="589"/>
        <item x="590"/>
        <item x="591"/>
        <item x="592"/>
        <item x="593"/>
        <item x="594"/>
        <item x="595"/>
        <item x="596"/>
        <item x="597"/>
        <item x="66"/>
        <item x="598"/>
        <item x="599"/>
        <item x="600"/>
        <item x="601"/>
        <item x="602"/>
        <item x="603"/>
        <item x="604"/>
        <item x="67"/>
        <item x="605"/>
        <item x="606"/>
        <item x="607"/>
        <item x="608"/>
        <item x="609"/>
        <item x="610"/>
        <item x="611"/>
        <item x="612"/>
        <item x="613"/>
        <item x="614"/>
        <item x="615"/>
        <item x="616"/>
        <item x="617"/>
        <item x="618"/>
        <item x="619"/>
        <item x="620"/>
        <item x="621"/>
        <item x="622"/>
        <item x="623"/>
        <item x="624"/>
        <item x="625"/>
        <item x="626"/>
        <item x="627"/>
        <item x="68"/>
        <item x="628"/>
        <item x="629"/>
        <item x="630"/>
        <item x="631"/>
        <item x="632"/>
        <item x="633"/>
        <item x="634"/>
        <item x="635"/>
        <item x="636"/>
        <item x="7"/>
        <item x="69"/>
        <item x="637"/>
        <item x="638"/>
        <item x="639"/>
        <item x="640"/>
        <item x="641"/>
        <item x="642"/>
        <item x="643"/>
        <item x="644"/>
        <item x="70"/>
        <item x="645"/>
        <item x="646"/>
        <item x="647"/>
        <item x="648"/>
        <item x="649"/>
        <item x="650"/>
        <item x="651"/>
        <item x="652"/>
        <item x="653"/>
        <item x="654"/>
        <item x="71"/>
        <item x="655"/>
        <item x="656"/>
        <item x="657"/>
        <item x="658"/>
        <item x="659"/>
        <item x="660"/>
        <item x="72"/>
        <item x="661"/>
        <item x="662"/>
        <item x="663"/>
        <item x="664"/>
        <item x="665"/>
        <item x="666"/>
        <item x="667"/>
        <item x="73"/>
        <item x="668"/>
        <item x="669"/>
        <item x="670"/>
        <item x="671"/>
        <item x="672"/>
        <item x="673"/>
        <item x="674"/>
        <item x="675"/>
        <item x="74"/>
        <item x="676"/>
        <item x="677"/>
        <item x="678"/>
        <item x="679"/>
        <item x="680"/>
        <item x="681"/>
        <item x="682"/>
        <item x="683"/>
        <item x="75"/>
        <item x="684"/>
        <item x="685"/>
        <item x="686"/>
        <item x="687"/>
        <item x="688"/>
        <item x="689"/>
        <item x="690"/>
        <item x="691"/>
        <item x="692"/>
        <item x="76"/>
        <item x="693"/>
        <item x="694"/>
        <item x="695"/>
        <item x="696"/>
        <item x="697"/>
        <item x="698"/>
        <item x="699"/>
        <item x="700"/>
        <item x="701"/>
        <item x="77"/>
        <item x="702"/>
        <item x="703"/>
        <item x="704"/>
        <item x="705"/>
        <item x="706"/>
        <item x="707"/>
        <item x="708"/>
        <item x="709"/>
        <item x="710"/>
        <item x="711"/>
        <item x="78"/>
        <item x="712"/>
        <item x="713"/>
        <item x="714"/>
        <item x="715"/>
        <item x="716"/>
        <item x="717"/>
        <item x="718"/>
        <item x="719"/>
        <item x="720"/>
        <item x="721"/>
        <item x="8"/>
        <item x="79"/>
        <item x="722"/>
        <item x="723"/>
        <item x="724"/>
        <item x="725"/>
        <item x="726"/>
        <item x="727"/>
        <item x="728"/>
        <item x="729"/>
        <item x="730"/>
        <item x="731"/>
        <item x="80"/>
        <item x="732"/>
        <item x="733"/>
        <item x="734"/>
        <item x="735"/>
        <item x="736"/>
        <item x="737"/>
        <item x="738"/>
        <item x="739"/>
        <item x="81"/>
        <item x="740"/>
        <item x="741"/>
        <item x="742"/>
        <item x="743"/>
        <item x="744"/>
        <item x="745"/>
        <item x="746"/>
        <item x="747"/>
        <item x="748"/>
        <item x="82"/>
        <item x="749"/>
        <item x="750"/>
        <item x="751"/>
        <item x="752"/>
        <item x="753"/>
        <item x="754"/>
        <item x="755"/>
        <item x="756"/>
        <item x="83"/>
        <item x="757"/>
        <item x="758"/>
        <item x="759"/>
        <item x="760"/>
        <item x="761"/>
        <item x="762"/>
        <item x="763"/>
        <item x="764"/>
        <item x="765"/>
        <item x="84"/>
        <item x="766"/>
        <item x="767"/>
        <item x="768"/>
        <item x="769"/>
        <item x="770"/>
        <item x="771"/>
        <item x="772"/>
        <item x="773"/>
        <item x="774"/>
        <item x="775"/>
        <item x="776"/>
        <item x="777"/>
        <item x="778"/>
        <item x="779"/>
        <item x="780"/>
        <item x="781"/>
        <item x="782"/>
        <item x="85"/>
        <item x="783"/>
        <item x="784"/>
        <item x="785"/>
        <item x="786"/>
        <item x="787"/>
        <item x="788"/>
        <item x="789"/>
        <item x="790"/>
        <item x="86"/>
        <item x="791"/>
        <item x="792"/>
        <item x="793"/>
        <item x="794"/>
        <item x="87"/>
        <item x="795"/>
        <item x="796"/>
        <item x="797"/>
        <item x="798"/>
        <item x="799"/>
        <item x="800"/>
        <item x="801"/>
        <item x="802"/>
        <item t="default"/>
      </items>
    </pivotField>
    <pivotField numFmtId="14" showAll="0">
      <items count="347">
        <item x="90"/>
        <item x="237"/>
        <item x="126"/>
        <item x="97"/>
        <item x="195"/>
        <item x="146"/>
        <item x="65"/>
        <item x="316"/>
        <item x="49"/>
        <item x="66"/>
        <item x="136"/>
        <item x="75"/>
        <item x="132"/>
        <item x="101"/>
        <item x="58"/>
        <item x="269"/>
        <item x="300"/>
        <item x="328"/>
        <item x="262"/>
        <item x="127"/>
        <item x="257"/>
        <item x="44"/>
        <item x="125"/>
        <item x="163"/>
        <item x="249"/>
        <item x="226"/>
        <item x="0"/>
        <item x="301"/>
        <item x="210"/>
        <item x="233"/>
        <item x="276"/>
        <item x="60"/>
        <item x="250"/>
        <item x="84"/>
        <item x="285"/>
        <item x="148"/>
        <item x="241"/>
        <item x="322"/>
        <item x="98"/>
        <item x="205"/>
        <item x="99"/>
        <item x="161"/>
        <item x="225"/>
        <item x="17"/>
        <item x="180"/>
        <item x="232"/>
        <item x="320"/>
        <item x="89"/>
        <item x="8"/>
        <item x="288"/>
        <item x="37"/>
        <item x="166"/>
        <item x="107"/>
        <item x="324"/>
        <item x="135"/>
        <item x="186"/>
        <item m="1" x="343"/>
        <item x="61"/>
        <item x="11"/>
        <item x="12"/>
        <item x="187"/>
        <item x="286"/>
        <item x="2"/>
        <item x="140"/>
        <item x="323"/>
        <item x="319"/>
        <item x="221"/>
        <item m="1" x="345"/>
        <item x="36"/>
        <item x="130"/>
        <item x="260"/>
        <item x="254"/>
        <item x="25"/>
        <item x="271"/>
        <item x="174"/>
        <item x="67"/>
        <item x="309"/>
        <item x="331"/>
        <item x="296"/>
        <item x="200"/>
        <item x="92"/>
        <item x="191"/>
        <item x="157"/>
        <item x="224"/>
        <item x="248"/>
        <item x="102"/>
        <item x="103"/>
        <item x="118"/>
        <item x="204"/>
        <item x="162"/>
        <item x="20"/>
        <item x="327"/>
        <item x="259"/>
        <item x="329"/>
        <item x="203"/>
        <item x="114"/>
        <item x="30"/>
        <item x="64"/>
        <item x="116"/>
        <item x="244"/>
        <item x="280"/>
        <item x="188"/>
        <item x="275"/>
        <item x="72"/>
        <item x="326"/>
        <item x="159"/>
        <item x="192"/>
        <item x="156"/>
        <item x="206"/>
        <item m="1" x="339"/>
        <item x="193"/>
        <item x="93"/>
        <item x="258"/>
        <item x="197"/>
        <item x="86"/>
        <item m="1" x="340"/>
        <item x="223"/>
        <item x="304"/>
        <item x="308"/>
        <item x="41"/>
        <item x="292"/>
        <item x="134"/>
        <item x="214"/>
        <item x="62"/>
        <item x="110"/>
        <item x="10"/>
        <item x="184"/>
        <item x="337"/>
        <item x="334"/>
        <item x="51"/>
        <item x="175"/>
        <item x="119"/>
        <item x="277"/>
        <item x="149"/>
        <item x="33"/>
        <item x="42"/>
        <item x="199"/>
        <item x="123"/>
        <item x="310"/>
        <item x="201"/>
        <item x="330"/>
        <item x="278"/>
        <item x="335"/>
        <item x="234"/>
        <item x="85"/>
        <item x="151"/>
        <item x="131"/>
        <item x="34"/>
        <item x="100"/>
        <item x="35"/>
        <item x="228"/>
        <item x="305"/>
        <item x="213"/>
        <item x="266"/>
        <item x="165"/>
        <item x="243"/>
        <item x="315"/>
        <item x="194"/>
        <item x="43"/>
        <item x="240"/>
        <item x="109"/>
        <item x="88"/>
        <item x="252"/>
        <item x="7"/>
        <item x="40"/>
        <item x="220"/>
        <item m="1" x="344"/>
        <item x="282"/>
        <item x="96"/>
        <item x="217"/>
        <item x="141"/>
        <item x="87"/>
        <item x="9"/>
        <item x="145"/>
        <item x="50"/>
        <item x="3"/>
        <item x="153"/>
        <item x="142"/>
        <item x="171"/>
        <item x="239"/>
        <item x="227"/>
        <item x="246"/>
        <item x="230"/>
        <item x="63"/>
        <item x="173"/>
        <item x="26"/>
        <item x="238"/>
        <item x="112"/>
        <item x="235"/>
        <item x="79"/>
        <item x="185"/>
        <item x="336"/>
        <item x="95"/>
        <item m="1" x="342"/>
        <item x="287"/>
        <item x="32"/>
        <item x="105"/>
        <item x="272"/>
        <item x="311"/>
        <item x="113"/>
        <item x="124"/>
        <item x="82"/>
        <item x="176"/>
        <item x="69"/>
        <item x="4"/>
        <item x="299"/>
        <item x="251"/>
        <item x="313"/>
        <item x="152"/>
        <item x="16"/>
        <item m="1" x="338"/>
        <item x="281"/>
        <item x="71"/>
        <item x="38"/>
        <item x="56"/>
        <item x="245"/>
        <item x="129"/>
        <item x="47"/>
        <item x="182"/>
        <item x="164"/>
        <item x="218"/>
        <item x="290"/>
        <item x="115"/>
        <item x="212"/>
        <item x="1"/>
        <item x="333"/>
        <item x="59"/>
        <item x="27"/>
        <item x="183"/>
        <item x="55"/>
        <item x="78"/>
        <item x="207"/>
        <item x="332"/>
        <item x="255"/>
        <item x="104"/>
        <item x="94"/>
        <item x="29"/>
        <item x="298"/>
        <item x="279"/>
        <item x="303"/>
        <item x="48"/>
        <item x="77"/>
        <item x="289"/>
        <item x="267"/>
        <item x="128"/>
        <item x="13"/>
        <item x="177"/>
        <item x="242"/>
        <item x="222"/>
        <item x="91"/>
        <item x="54"/>
        <item x="15"/>
        <item x="283"/>
        <item x="24"/>
        <item x="83"/>
        <item x="70"/>
        <item x="172"/>
        <item x="256"/>
        <item x="321"/>
        <item x="216"/>
        <item x="229"/>
        <item x="122"/>
        <item x="317"/>
        <item x="208"/>
        <item x="80"/>
        <item x="73"/>
        <item x="265"/>
        <item x="111"/>
        <item x="261"/>
        <item x="169"/>
        <item x="5"/>
        <item x="144"/>
        <item x="120"/>
        <item x="68"/>
        <item x="273"/>
        <item x="28"/>
        <item x="307"/>
        <item x="23"/>
        <item x="45"/>
        <item x="293"/>
        <item x="167"/>
        <item x="155"/>
        <item x="264"/>
        <item x="81"/>
        <item x="19"/>
        <item x="302"/>
        <item x="325"/>
        <item x="202"/>
        <item x="147"/>
        <item x="196"/>
        <item x="270"/>
        <item x="133"/>
        <item x="294"/>
        <item x="139"/>
        <item m="1" x="341"/>
        <item x="211"/>
        <item x="318"/>
        <item x="138"/>
        <item x="57"/>
        <item x="253"/>
        <item x="46"/>
        <item x="14"/>
        <item x="190"/>
        <item x="154"/>
        <item x="268"/>
        <item x="274"/>
        <item x="117"/>
        <item x="215"/>
        <item x="314"/>
        <item x="168"/>
        <item x="219"/>
        <item x="209"/>
        <item x="247"/>
        <item x="121"/>
        <item x="297"/>
        <item x="231"/>
        <item x="179"/>
        <item x="170"/>
        <item x="108"/>
        <item x="198"/>
        <item x="74"/>
        <item x="236"/>
        <item x="143"/>
        <item x="21"/>
        <item x="189"/>
        <item x="158"/>
        <item x="31"/>
        <item x="106"/>
        <item x="39"/>
        <item x="22"/>
        <item x="291"/>
        <item x="18"/>
        <item x="181"/>
        <item x="178"/>
        <item x="284"/>
        <item x="306"/>
        <item x="53"/>
        <item x="295"/>
        <item x="263"/>
        <item x="52"/>
        <item x="160"/>
        <item x="6"/>
        <item x="312"/>
        <item x="137"/>
        <item x="76"/>
        <item x="150"/>
        <item t="default"/>
      </items>
    </pivotField>
    <pivotField showAll="0">
      <items count="5">
        <item x="2"/>
        <item x="1"/>
        <item x="3"/>
        <item x="0"/>
        <item t="default"/>
      </items>
    </pivotField>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6">
    <i>
      <x v="1"/>
    </i>
    <i>
      <x/>
    </i>
    <i>
      <x v="3"/>
    </i>
    <i>
      <x v="2"/>
    </i>
    <i>
      <x v="4"/>
    </i>
    <i t="grand">
      <x/>
    </i>
  </rowItems>
  <colItems count="1">
    <i/>
  </colItems>
  <dataFields count="1">
    <dataField name="Count of orders" fld="0" subtotal="count" baseField="0" baseItem="0"/>
  </dataFields>
  <formats count="6">
    <format dxfId="21">
      <pivotArea type="all" dataOnly="0" outline="0" fieldPosition="0"/>
    </format>
    <format dxfId="20">
      <pivotArea outline="0" collapsedLevelsAreSubtotals="1"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1A81CA-8138-4171-88E6-7E198E63E1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F5:G11" firstHeaderRow="1" firstDataRow="1" firstDataCol="1"/>
  <pivotFields count="10">
    <pivotField showAll="0"/>
    <pivotField numFmtId="14" showAll="0">
      <items count="347">
        <item x="90"/>
        <item x="237"/>
        <item x="126"/>
        <item x="97"/>
        <item x="195"/>
        <item x="146"/>
        <item x="65"/>
        <item x="316"/>
        <item x="49"/>
        <item x="66"/>
        <item x="136"/>
        <item x="75"/>
        <item x="132"/>
        <item x="101"/>
        <item x="58"/>
        <item x="269"/>
        <item x="300"/>
        <item x="328"/>
        <item x="262"/>
        <item x="127"/>
        <item x="257"/>
        <item x="44"/>
        <item x="125"/>
        <item x="163"/>
        <item x="249"/>
        <item x="226"/>
        <item x="0"/>
        <item x="301"/>
        <item x="210"/>
        <item x="233"/>
        <item x="276"/>
        <item x="60"/>
        <item x="250"/>
        <item x="84"/>
        <item x="285"/>
        <item x="148"/>
        <item x="241"/>
        <item x="322"/>
        <item x="98"/>
        <item x="205"/>
        <item x="99"/>
        <item x="161"/>
        <item x="225"/>
        <item x="17"/>
        <item x="180"/>
        <item x="232"/>
        <item x="320"/>
        <item x="89"/>
        <item x="8"/>
        <item x="288"/>
        <item x="37"/>
        <item x="166"/>
        <item x="107"/>
        <item x="324"/>
        <item x="135"/>
        <item x="186"/>
        <item m="1" x="343"/>
        <item x="61"/>
        <item x="11"/>
        <item x="12"/>
        <item x="187"/>
        <item x="286"/>
        <item x="2"/>
        <item x="140"/>
        <item x="323"/>
        <item x="319"/>
        <item x="221"/>
        <item m="1" x="345"/>
        <item x="36"/>
        <item x="130"/>
        <item x="260"/>
        <item x="254"/>
        <item x="25"/>
        <item x="271"/>
        <item x="174"/>
        <item x="67"/>
        <item x="309"/>
        <item x="331"/>
        <item x="296"/>
        <item x="200"/>
        <item x="92"/>
        <item x="191"/>
        <item x="157"/>
        <item x="224"/>
        <item x="248"/>
        <item x="102"/>
        <item x="103"/>
        <item x="118"/>
        <item x="204"/>
        <item x="162"/>
        <item x="20"/>
        <item x="327"/>
        <item x="259"/>
        <item x="329"/>
        <item x="203"/>
        <item x="114"/>
        <item x="30"/>
        <item x="64"/>
        <item x="116"/>
        <item x="244"/>
        <item x="280"/>
        <item x="188"/>
        <item x="275"/>
        <item x="72"/>
        <item x="326"/>
        <item x="159"/>
        <item x="192"/>
        <item x="156"/>
        <item x="206"/>
        <item m="1" x="339"/>
        <item x="193"/>
        <item x="93"/>
        <item x="258"/>
        <item x="197"/>
        <item x="86"/>
        <item m="1" x="340"/>
        <item x="223"/>
        <item x="304"/>
        <item x="308"/>
        <item x="41"/>
        <item x="292"/>
        <item x="134"/>
        <item x="214"/>
        <item x="62"/>
        <item x="110"/>
        <item x="10"/>
        <item x="184"/>
        <item x="337"/>
        <item x="334"/>
        <item x="51"/>
        <item x="175"/>
        <item x="119"/>
        <item x="277"/>
        <item x="149"/>
        <item x="33"/>
        <item x="42"/>
        <item x="199"/>
        <item x="123"/>
        <item x="310"/>
        <item x="201"/>
        <item x="330"/>
        <item x="278"/>
        <item x="335"/>
        <item x="234"/>
        <item x="85"/>
        <item x="151"/>
        <item x="131"/>
        <item x="34"/>
        <item x="100"/>
        <item x="35"/>
        <item x="228"/>
        <item x="305"/>
        <item x="213"/>
        <item x="266"/>
        <item x="165"/>
        <item x="243"/>
        <item x="315"/>
        <item x="194"/>
        <item x="43"/>
        <item x="240"/>
        <item x="109"/>
        <item x="88"/>
        <item x="252"/>
        <item x="7"/>
        <item x="40"/>
        <item x="220"/>
        <item m="1" x="344"/>
        <item x="282"/>
        <item x="96"/>
        <item x="217"/>
        <item x="141"/>
        <item x="87"/>
        <item x="9"/>
        <item x="145"/>
        <item x="50"/>
        <item x="3"/>
        <item x="153"/>
        <item x="142"/>
        <item x="171"/>
        <item x="239"/>
        <item x="227"/>
        <item x="246"/>
        <item x="230"/>
        <item x="63"/>
        <item x="173"/>
        <item x="26"/>
        <item x="238"/>
        <item x="112"/>
        <item x="235"/>
        <item x="79"/>
        <item x="185"/>
        <item x="336"/>
        <item x="95"/>
        <item m="1" x="342"/>
        <item x="287"/>
        <item x="32"/>
        <item x="105"/>
        <item x="272"/>
        <item x="311"/>
        <item x="113"/>
        <item x="124"/>
        <item x="82"/>
        <item x="176"/>
        <item x="69"/>
        <item x="4"/>
        <item x="299"/>
        <item x="251"/>
        <item x="313"/>
        <item x="152"/>
        <item x="16"/>
        <item m="1" x="338"/>
        <item x="281"/>
        <item x="71"/>
        <item x="38"/>
        <item x="56"/>
        <item x="245"/>
        <item x="129"/>
        <item x="47"/>
        <item x="182"/>
        <item x="164"/>
        <item x="218"/>
        <item x="290"/>
        <item x="115"/>
        <item x="212"/>
        <item x="1"/>
        <item x="333"/>
        <item x="59"/>
        <item x="27"/>
        <item x="183"/>
        <item x="55"/>
        <item x="78"/>
        <item x="207"/>
        <item x="332"/>
        <item x="255"/>
        <item x="104"/>
        <item x="94"/>
        <item x="29"/>
        <item x="298"/>
        <item x="279"/>
        <item x="303"/>
        <item x="48"/>
        <item x="77"/>
        <item x="289"/>
        <item x="267"/>
        <item x="128"/>
        <item x="13"/>
        <item x="177"/>
        <item x="242"/>
        <item x="222"/>
        <item x="91"/>
        <item x="54"/>
        <item x="15"/>
        <item x="283"/>
        <item x="24"/>
        <item x="83"/>
        <item x="70"/>
        <item x="172"/>
        <item x="256"/>
        <item x="321"/>
        <item x="216"/>
        <item x="229"/>
        <item x="122"/>
        <item x="317"/>
        <item x="208"/>
        <item x="80"/>
        <item x="73"/>
        <item x="265"/>
        <item x="111"/>
        <item x="261"/>
        <item x="169"/>
        <item x="5"/>
        <item x="144"/>
        <item x="120"/>
        <item x="68"/>
        <item x="273"/>
        <item x="28"/>
        <item x="307"/>
        <item x="23"/>
        <item x="45"/>
        <item x="293"/>
        <item x="167"/>
        <item x="155"/>
        <item x="264"/>
        <item x="81"/>
        <item x="19"/>
        <item x="302"/>
        <item x="325"/>
        <item x="202"/>
        <item x="147"/>
        <item x="196"/>
        <item x="270"/>
        <item x="133"/>
        <item x="294"/>
        <item x="139"/>
        <item m="1" x="341"/>
        <item x="211"/>
        <item x="318"/>
        <item x="138"/>
        <item x="57"/>
        <item x="253"/>
        <item x="46"/>
        <item x="14"/>
        <item x="190"/>
        <item x="154"/>
        <item x="268"/>
        <item x="274"/>
        <item x="117"/>
        <item x="215"/>
        <item x="314"/>
        <item x="168"/>
        <item x="219"/>
        <item x="209"/>
        <item x="247"/>
        <item x="121"/>
        <item x="297"/>
        <item x="231"/>
        <item x="179"/>
        <item x="170"/>
        <item x="108"/>
        <item x="198"/>
        <item x="74"/>
        <item x="236"/>
        <item x="143"/>
        <item x="21"/>
        <item x="189"/>
        <item x="158"/>
        <item x="31"/>
        <item x="106"/>
        <item x="39"/>
        <item x="22"/>
        <item x="291"/>
        <item x="18"/>
        <item x="181"/>
        <item x="178"/>
        <item x="284"/>
        <item x="306"/>
        <item x="53"/>
        <item x="295"/>
        <item x="263"/>
        <item x="52"/>
        <item x="160"/>
        <item x="6"/>
        <item x="312"/>
        <item x="137"/>
        <item x="76"/>
        <item x="150"/>
        <item t="default"/>
      </items>
    </pivotField>
    <pivotField showAll="0">
      <items count="5">
        <item x="2"/>
        <item x="1"/>
        <item x="3"/>
        <item x="0"/>
        <item t="default"/>
      </items>
    </pivotField>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6">
    <i>
      <x v="1"/>
    </i>
    <i>
      <x v="4"/>
    </i>
    <i>
      <x/>
    </i>
    <i>
      <x v="2"/>
    </i>
    <i>
      <x v="3"/>
    </i>
    <i t="grand">
      <x/>
    </i>
  </rowItems>
  <colItems count="1">
    <i/>
  </colItems>
  <dataFields count="1">
    <dataField name="Total Revenue" fld="6" baseField="0" baseItem="0" numFmtId="165"/>
  </dataFields>
  <formats count="8">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axis="axisValues"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18C02F-B80E-4029-A38D-08BCD65DA133}" sourceName="Region">
  <pivotTables>
    <pivotTable tabId="2" name="PivotTable1"/>
    <pivotTable tabId="2" name="PivotTable3"/>
    <pivotTable tabId="2" name="PivotTable4"/>
    <pivotTable tabId="2" name="PivotTable5"/>
    <pivotTable tabId="2" name="PivotTable6"/>
  </pivotTables>
  <data>
    <tabular pivotCacheId="492425376">
      <items count="4">
        <i x="2" s="1"/>
        <i x="1" s="1"/>
        <i x="3"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59B56E-C618-4C7F-93FF-4CBCF0950DB5}" sourceName="Product">
  <pivotTables>
    <pivotTable tabId="2" name="PivotTable5"/>
    <pivotTable tabId="2" name="PivotTable1"/>
    <pivotTable tabId="2" name="PivotTable3"/>
    <pivotTable tabId="2" name="PivotTable4"/>
    <pivotTable tabId="2" name="PivotTable6"/>
  </pivotTables>
  <data>
    <tabular pivotCacheId="492425376">
      <items count="5">
        <i x="3" s="1"/>
        <i x="4" s="1"/>
        <i x="2" s="1"/>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7F93F4D-6972-4E7D-A1D3-CF85FF35C44F}" sourceName="Months (Date)">
  <pivotTables>
    <pivotTable tabId="2" name="PivotTable3"/>
    <pivotTable tabId="2" name="PivotTable1"/>
    <pivotTable tabId="2" name="PivotTable4"/>
    <pivotTable tabId="2" name="PivotTable5"/>
    <pivotTable tabId="2" name="PivotTable6"/>
  </pivotTables>
  <data>
    <tabular pivotCacheId="49242537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6898268-750F-4144-BDF3-C25067D8528D}" cache="Slicer_Region" caption="Select Region" rowHeight="241300"/>
  <slicer name="Product 2" xr10:uid="{3A132E15-72D3-4613-9D49-ACB6519A578F}" cache="Slicer_Product" caption="Select Product" rowHeight="241300"/>
  <slicer name="Months (Date) 1" xr10:uid="{1359BD50-0E49-4BAE-ADA0-AD1B643C4445}" cache="Slicer_Months__Date" caption="Select Mon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E8529F-74C4-48B8-9ED5-23A59B26D351}" name="Table2" displayName="Table2" ref="A1:G983" totalsRowShown="0" headerRowDxfId="40" dataDxfId="39">
  <autoFilter ref="A1:G983" xr:uid="{63E8529F-74C4-48B8-9ED5-23A59B26D351}"/>
  <tableColumns count="7">
    <tableColumn id="1" xr3:uid="{FC971BC5-515F-4B69-98FD-81B25CBBF8F4}" name="OrderID" dataDxfId="38"/>
    <tableColumn id="2" xr3:uid="{B33F56DA-ED7E-4E90-ABB0-E04FF0EE694A}" name="Date" dataDxfId="37"/>
    <tableColumn id="3" xr3:uid="{5A276669-6261-4DAA-A491-B2B4A247CCFB}" name="Region" dataDxfId="36"/>
    <tableColumn id="4" xr3:uid="{2DC8A332-14B2-463B-AE4B-EB43A18A1429}" name="Product" dataDxfId="35"/>
    <tableColumn id="5" xr3:uid="{E9C128D3-4402-47AA-B1FE-8F4007446BB8}" name="Sales" dataDxfId="34"/>
    <tableColumn id="6" xr3:uid="{AAA71755-BCE3-4DF2-8658-FCF18AEED3C0}" name="Quantity" dataDxfId="33"/>
    <tableColumn id="7" xr3:uid="{5F50EC44-D51D-41B8-B12C-5EE04F13469E}" name="Revenue" dataDxfId="3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0"/>
  <sheetViews>
    <sheetView workbookViewId="0">
      <selection activeCell="I11" sqref="I11"/>
    </sheetView>
  </sheetViews>
  <sheetFormatPr defaultRowHeight="14.5" x14ac:dyDescent="0.35"/>
  <cols>
    <col min="1" max="1" width="9.54296875" customWidth="1"/>
    <col min="2" max="2" width="10.453125" style="1" bestFit="1" customWidth="1"/>
    <col min="4" max="4" width="12.36328125" bestFit="1" customWidth="1"/>
    <col min="5" max="5" width="8.7265625" style="4"/>
    <col min="6" max="6" width="10.1796875" customWidth="1"/>
    <col min="7" max="7" width="10.26953125" bestFit="1" customWidth="1"/>
  </cols>
  <sheetData>
    <row r="1" spans="1:7" ht="15" thickBot="1" x14ac:dyDescent="0.4">
      <c r="A1" s="5" t="s">
        <v>0</v>
      </c>
      <c r="B1" s="6" t="s">
        <v>1</v>
      </c>
      <c r="C1" s="7" t="s">
        <v>2</v>
      </c>
      <c r="D1" s="7" t="s">
        <v>3</v>
      </c>
      <c r="E1" s="8" t="s">
        <v>4</v>
      </c>
      <c r="F1" s="7" t="s">
        <v>5</v>
      </c>
      <c r="G1" s="7" t="s">
        <v>981</v>
      </c>
    </row>
    <row r="2" spans="1:7" ht="15" thickTop="1" x14ac:dyDescent="0.35">
      <c r="A2" s="9" t="s">
        <v>6</v>
      </c>
      <c r="B2" s="10">
        <v>44955</v>
      </c>
      <c r="C2" s="11" t="s">
        <v>31</v>
      </c>
      <c r="D2" s="11" t="s">
        <v>23</v>
      </c>
      <c r="E2" s="12">
        <v>1002</v>
      </c>
      <c r="F2" s="11">
        <v>10</v>
      </c>
      <c r="G2" s="12">
        <f>SalesData!$E2*SalesData!$F2</f>
        <v>10020</v>
      </c>
    </row>
    <row r="3" spans="1:7" x14ac:dyDescent="0.35">
      <c r="A3" s="13" t="s">
        <v>7</v>
      </c>
      <c r="B3" s="14">
        <v>45165</v>
      </c>
      <c r="C3" s="2" t="s">
        <v>89</v>
      </c>
      <c r="D3" s="2" t="s">
        <v>20</v>
      </c>
      <c r="E3" s="15">
        <v>15870</v>
      </c>
      <c r="F3" s="2">
        <v>3</v>
      </c>
      <c r="G3" s="15">
        <f>SalesData!$E3*SalesData!$F3</f>
        <v>47610</v>
      </c>
    </row>
    <row r="4" spans="1:7" x14ac:dyDescent="0.35">
      <c r="A4" s="16" t="s">
        <v>8</v>
      </c>
      <c r="B4" s="17">
        <v>44996</v>
      </c>
      <c r="C4" s="3" t="s">
        <v>31</v>
      </c>
      <c r="D4" s="3" t="s">
        <v>29</v>
      </c>
      <c r="E4" s="18">
        <v>28434</v>
      </c>
      <c r="F4" s="3">
        <v>7</v>
      </c>
      <c r="G4" s="18">
        <f>SalesData!$E4*SalesData!$F4</f>
        <v>199038</v>
      </c>
    </row>
    <row r="5" spans="1:7" x14ac:dyDescent="0.35">
      <c r="A5" s="13" t="s">
        <v>9</v>
      </c>
      <c r="B5" s="14">
        <v>45113</v>
      </c>
      <c r="C5" s="2" t="s">
        <v>31</v>
      </c>
      <c r="D5" s="2" t="s">
        <v>25</v>
      </c>
      <c r="E5" s="15">
        <v>46756</v>
      </c>
      <c r="F5" s="2">
        <v>8</v>
      </c>
      <c r="G5" s="15">
        <f>SalesData!$E5*SalesData!$F5</f>
        <v>374048</v>
      </c>
    </row>
    <row r="6" spans="1:7" x14ac:dyDescent="0.35">
      <c r="A6" s="16" t="s">
        <v>10</v>
      </c>
      <c r="B6" s="17">
        <v>45143</v>
      </c>
      <c r="C6" s="3" t="s">
        <v>89</v>
      </c>
      <c r="D6" s="3" t="s">
        <v>29</v>
      </c>
      <c r="E6" s="18">
        <v>27113</v>
      </c>
      <c r="F6" s="3">
        <v>8</v>
      </c>
      <c r="G6" s="18">
        <f>SalesData!$E6*SalesData!$F6</f>
        <v>216904</v>
      </c>
    </row>
    <row r="7" spans="1:7" x14ac:dyDescent="0.35">
      <c r="A7" s="13" t="s">
        <v>11</v>
      </c>
      <c r="B7" s="14">
        <v>45212</v>
      </c>
      <c r="C7" s="2" t="s">
        <v>89</v>
      </c>
      <c r="D7" s="2" t="s">
        <v>23</v>
      </c>
      <c r="E7" s="15">
        <v>42433</v>
      </c>
      <c r="F7" s="2">
        <v>8</v>
      </c>
      <c r="G7" s="15">
        <f>SalesData!$E7*SalesData!$F7</f>
        <v>339464</v>
      </c>
    </row>
    <row r="8" spans="1:7" x14ac:dyDescent="0.35">
      <c r="A8" s="16" t="s">
        <v>12</v>
      </c>
      <c r="B8" s="17">
        <v>45288</v>
      </c>
      <c r="C8" s="3" t="s">
        <v>89</v>
      </c>
      <c r="D8" s="3" t="s">
        <v>20</v>
      </c>
      <c r="E8" s="18">
        <v>49464</v>
      </c>
      <c r="F8" s="3">
        <v>10</v>
      </c>
      <c r="G8" s="18">
        <f>SalesData!$E8*SalesData!$F8</f>
        <v>494640</v>
      </c>
    </row>
    <row r="9" spans="1:7" x14ac:dyDescent="0.35">
      <c r="A9" s="13" t="s">
        <v>13</v>
      </c>
      <c r="B9" s="14">
        <v>45101</v>
      </c>
      <c r="C9" s="2" t="s">
        <v>14</v>
      </c>
      <c r="D9" s="2" t="s">
        <v>17</v>
      </c>
      <c r="E9" s="15">
        <v>42575</v>
      </c>
      <c r="F9" s="2">
        <v>4</v>
      </c>
      <c r="G9" s="15">
        <f>SalesData!$E9*SalesData!$F9</f>
        <v>170300</v>
      </c>
    </row>
    <row r="10" spans="1:7" x14ac:dyDescent="0.35">
      <c r="A10" s="16" t="s">
        <v>15</v>
      </c>
      <c r="B10" s="17">
        <v>44981</v>
      </c>
      <c r="C10" s="3" t="s">
        <v>14</v>
      </c>
      <c r="D10" s="3" t="s">
        <v>20</v>
      </c>
      <c r="E10" s="18">
        <v>44438</v>
      </c>
      <c r="F10" s="3">
        <v>1</v>
      </c>
      <c r="G10" s="18">
        <f>SalesData!$E10*SalesData!$F10</f>
        <v>44438</v>
      </c>
    </row>
    <row r="11" spans="1:7" x14ac:dyDescent="0.35">
      <c r="A11" s="13" t="s">
        <v>18</v>
      </c>
      <c r="B11" s="14">
        <v>45110</v>
      </c>
      <c r="C11" s="2" t="s">
        <v>14</v>
      </c>
      <c r="D11" s="2" t="s">
        <v>17</v>
      </c>
      <c r="E11" s="15">
        <v>48303</v>
      </c>
      <c r="F11" s="2">
        <v>4</v>
      </c>
      <c r="G11" s="15">
        <f>SalesData!$E11*SalesData!$F11</f>
        <v>193212</v>
      </c>
    </row>
    <row r="12" spans="1:7" x14ac:dyDescent="0.35">
      <c r="A12" s="16" t="s">
        <v>19</v>
      </c>
      <c r="B12" s="17">
        <v>45062</v>
      </c>
      <c r="C12" s="3" t="s">
        <v>14</v>
      </c>
      <c r="D12" s="3" t="s">
        <v>20</v>
      </c>
      <c r="E12" s="18">
        <v>44523</v>
      </c>
      <c r="F12" s="3">
        <v>2</v>
      </c>
      <c r="G12" s="18">
        <f>SalesData!$E12*SalesData!$F12</f>
        <v>89046</v>
      </c>
    </row>
    <row r="13" spans="1:7" x14ac:dyDescent="0.35">
      <c r="A13" s="13" t="s">
        <v>21</v>
      </c>
      <c r="B13" s="14">
        <v>44992</v>
      </c>
      <c r="C13" s="2" t="s">
        <v>89</v>
      </c>
      <c r="D13" s="2" t="s">
        <v>29</v>
      </c>
      <c r="E13" s="15">
        <v>28966</v>
      </c>
      <c r="F13" s="2">
        <v>5</v>
      </c>
      <c r="G13" s="15">
        <f>SalesData!$E13*SalesData!$F13</f>
        <v>144830</v>
      </c>
    </row>
    <row r="14" spans="1:7" x14ac:dyDescent="0.35">
      <c r="A14" s="16" t="s">
        <v>22</v>
      </c>
      <c r="B14" s="17">
        <v>44993</v>
      </c>
      <c r="C14" s="3" t="s">
        <v>14</v>
      </c>
      <c r="D14" s="3" t="s">
        <v>23</v>
      </c>
      <c r="E14" s="18">
        <v>37815</v>
      </c>
      <c r="F14" s="3">
        <v>8</v>
      </c>
      <c r="G14" s="18">
        <f>SalesData!$E14*SalesData!$F14</f>
        <v>302520</v>
      </c>
    </row>
    <row r="15" spans="1:7" x14ac:dyDescent="0.35">
      <c r="A15" s="13" t="s">
        <v>24</v>
      </c>
      <c r="B15" s="14">
        <v>45187</v>
      </c>
      <c r="C15" s="2" t="s">
        <v>14</v>
      </c>
      <c r="D15" s="2" t="s">
        <v>25</v>
      </c>
      <c r="E15" s="15">
        <v>41405</v>
      </c>
      <c r="F15" s="2">
        <v>10</v>
      </c>
      <c r="G15" s="15">
        <f>SalesData!$E15*SalesData!$F15</f>
        <v>414050</v>
      </c>
    </row>
    <row r="16" spans="1:7" x14ac:dyDescent="0.35">
      <c r="A16" s="16" t="s">
        <v>26</v>
      </c>
      <c r="B16" s="17">
        <v>45246</v>
      </c>
      <c r="C16" s="3" t="s">
        <v>31</v>
      </c>
      <c r="D16" s="3" t="s">
        <v>23</v>
      </c>
      <c r="E16" s="18">
        <v>41497</v>
      </c>
      <c r="F16" s="3">
        <v>7</v>
      </c>
      <c r="G16" s="18">
        <f>SalesData!$E16*SalesData!$F16</f>
        <v>290479</v>
      </c>
    </row>
    <row r="17" spans="1:7" x14ac:dyDescent="0.35">
      <c r="A17" s="13" t="s">
        <v>27</v>
      </c>
      <c r="B17" s="14">
        <v>45193</v>
      </c>
      <c r="C17" s="2" t="s">
        <v>89</v>
      </c>
      <c r="D17" s="2" t="s">
        <v>29</v>
      </c>
      <c r="E17" s="15">
        <v>38875</v>
      </c>
      <c r="F17" s="2">
        <v>4</v>
      </c>
      <c r="G17" s="15">
        <f>SalesData!$E17*SalesData!$F17</f>
        <v>155500</v>
      </c>
    </row>
    <row r="18" spans="1:7" x14ac:dyDescent="0.35">
      <c r="A18" s="16" t="s">
        <v>28</v>
      </c>
      <c r="B18" s="17">
        <v>45149</v>
      </c>
      <c r="C18" s="3" t="s">
        <v>16</v>
      </c>
      <c r="D18" s="3" t="s">
        <v>29</v>
      </c>
      <c r="E18" s="18">
        <v>22892</v>
      </c>
      <c r="F18" s="3">
        <v>10</v>
      </c>
      <c r="G18" s="18">
        <f>SalesData!$E18*SalesData!$F18</f>
        <v>228920</v>
      </c>
    </row>
    <row r="19" spans="1:7" x14ac:dyDescent="0.35">
      <c r="A19" s="13" t="s">
        <v>30</v>
      </c>
      <c r="B19" s="14">
        <v>44975</v>
      </c>
      <c r="C19" s="2" t="s">
        <v>31</v>
      </c>
      <c r="D19" s="2" t="s">
        <v>29</v>
      </c>
      <c r="E19" s="15">
        <v>38469</v>
      </c>
      <c r="F19" s="2">
        <v>6</v>
      </c>
      <c r="G19" s="15">
        <f>SalesData!$E19*SalesData!$F19</f>
        <v>230814</v>
      </c>
    </row>
    <row r="20" spans="1:7" x14ac:dyDescent="0.35">
      <c r="A20" s="16" t="s">
        <v>32</v>
      </c>
      <c r="B20" s="17">
        <v>45277</v>
      </c>
      <c r="C20" s="3" t="s">
        <v>16</v>
      </c>
      <c r="D20" s="3" t="s">
        <v>20</v>
      </c>
      <c r="E20" s="18">
        <v>22017</v>
      </c>
      <c r="F20" s="3">
        <v>8</v>
      </c>
      <c r="G20" s="18">
        <f>SalesData!$E20*SalesData!$F20</f>
        <v>176136</v>
      </c>
    </row>
    <row r="21" spans="1:7" x14ac:dyDescent="0.35">
      <c r="A21" s="13" t="s">
        <v>33</v>
      </c>
      <c r="B21" s="14">
        <v>45228</v>
      </c>
      <c r="C21" s="2" t="s">
        <v>16</v>
      </c>
      <c r="D21" s="2" t="s">
        <v>17</v>
      </c>
      <c r="E21" s="15">
        <v>35210</v>
      </c>
      <c r="F21" s="2">
        <v>4</v>
      </c>
      <c r="G21" s="15">
        <f>SalesData!$E21*SalesData!$F21</f>
        <v>140840</v>
      </c>
    </row>
    <row r="22" spans="1:7" x14ac:dyDescent="0.35">
      <c r="A22" s="16" t="s">
        <v>34</v>
      </c>
      <c r="B22" s="17">
        <v>45025</v>
      </c>
      <c r="C22" s="3" t="s">
        <v>31</v>
      </c>
      <c r="D22" s="3" t="s">
        <v>25</v>
      </c>
      <c r="E22" s="18">
        <v>2586</v>
      </c>
      <c r="F22" s="3">
        <v>2</v>
      </c>
      <c r="G22" s="18">
        <f>SalesData!$E22*SalesData!$F22</f>
        <v>5172</v>
      </c>
    </row>
    <row r="23" spans="1:7" x14ac:dyDescent="0.35">
      <c r="A23" s="13" t="s">
        <v>35</v>
      </c>
      <c r="B23" s="14">
        <v>45269</v>
      </c>
      <c r="C23" s="2" t="s">
        <v>89</v>
      </c>
      <c r="D23" s="2" t="s">
        <v>23</v>
      </c>
      <c r="E23" s="15">
        <v>14054</v>
      </c>
      <c r="F23" s="2">
        <v>7</v>
      </c>
      <c r="G23" s="15">
        <f>SalesData!$E23*SalesData!$F23</f>
        <v>98378</v>
      </c>
    </row>
    <row r="24" spans="1:7" x14ac:dyDescent="0.35">
      <c r="A24" s="16" t="s">
        <v>36</v>
      </c>
      <c r="B24" s="17">
        <v>45275</v>
      </c>
      <c r="C24" s="3" t="s">
        <v>14</v>
      </c>
      <c r="D24" s="3" t="s">
        <v>25</v>
      </c>
      <c r="E24" s="18">
        <v>14448</v>
      </c>
      <c r="F24" s="3">
        <v>2</v>
      </c>
      <c r="G24" s="18">
        <f>SalesData!$E24*SalesData!$F24</f>
        <v>28896</v>
      </c>
    </row>
    <row r="25" spans="1:7" x14ac:dyDescent="0.35">
      <c r="A25" s="13" t="s">
        <v>37</v>
      </c>
      <c r="B25" s="14">
        <v>45221</v>
      </c>
      <c r="C25" s="2" t="s">
        <v>31</v>
      </c>
      <c r="D25" s="2" t="s">
        <v>29</v>
      </c>
      <c r="E25" s="15">
        <v>1288</v>
      </c>
      <c r="F25" s="2">
        <v>2</v>
      </c>
      <c r="G25" s="15">
        <f>SalesData!$E25*SalesData!$F25</f>
        <v>2576</v>
      </c>
    </row>
    <row r="26" spans="1:7" x14ac:dyDescent="0.35">
      <c r="A26" s="16" t="s">
        <v>38</v>
      </c>
      <c r="B26" s="17">
        <v>45275</v>
      </c>
      <c r="C26" s="3" t="s">
        <v>16</v>
      </c>
      <c r="D26" s="3" t="s">
        <v>23</v>
      </c>
      <c r="E26" s="18">
        <v>48071</v>
      </c>
      <c r="F26" s="3">
        <v>6</v>
      </c>
      <c r="G26" s="18">
        <f>SalesData!$E26*SalesData!$F26</f>
        <v>288426</v>
      </c>
    </row>
    <row r="27" spans="1:7" x14ac:dyDescent="0.35">
      <c r="A27" s="13" t="s">
        <v>39</v>
      </c>
      <c r="B27" s="14">
        <v>45195</v>
      </c>
      <c r="C27" s="2" t="s">
        <v>14</v>
      </c>
      <c r="D27" s="2" t="s">
        <v>25</v>
      </c>
      <c r="E27" s="15">
        <v>13808</v>
      </c>
      <c r="F27" s="2">
        <v>9</v>
      </c>
      <c r="G27" s="15">
        <f>SalesData!$E27*SalesData!$F27</f>
        <v>124272</v>
      </c>
    </row>
    <row r="28" spans="1:7" x14ac:dyDescent="0.35">
      <c r="A28" s="16" t="s">
        <v>40</v>
      </c>
      <c r="B28" s="17">
        <v>45007</v>
      </c>
      <c r="C28" s="3" t="s">
        <v>14</v>
      </c>
      <c r="D28" s="3" t="s">
        <v>23</v>
      </c>
      <c r="E28" s="18">
        <v>25208</v>
      </c>
      <c r="F28" s="3">
        <v>1</v>
      </c>
      <c r="G28" s="18">
        <f>SalesData!$E28*SalesData!$F28</f>
        <v>25208</v>
      </c>
    </row>
    <row r="29" spans="1:7" x14ac:dyDescent="0.35">
      <c r="A29" s="13" t="s">
        <v>41</v>
      </c>
      <c r="B29" s="14">
        <v>45123</v>
      </c>
      <c r="C29" s="2" t="s">
        <v>89</v>
      </c>
      <c r="D29" s="2" t="s">
        <v>17</v>
      </c>
      <c r="E29" s="15">
        <v>43283</v>
      </c>
      <c r="F29" s="2">
        <v>7</v>
      </c>
      <c r="G29" s="15">
        <f>SalesData!$E29*SalesData!$F29</f>
        <v>302981</v>
      </c>
    </row>
    <row r="30" spans="1:7" x14ac:dyDescent="0.35">
      <c r="A30" s="16" t="s">
        <v>42</v>
      </c>
      <c r="B30" s="17">
        <v>45168</v>
      </c>
      <c r="C30" s="3" t="s">
        <v>31</v>
      </c>
      <c r="D30" s="3" t="s">
        <v>20</v>
      </c>
      <c r="E30" s="18">
        <v>18599</v>
      </c>
      <c r="F30" s="3">
        <v>7</v>
      </c>
      <c r="G30" s="18">
        <f>SalesData!$E30*SalesData!$F30</f>
        <v>130193</v>
      </c>
    </row>
    <row r="31" spans="1:7" x14ac:dyDescent="0.35">
      <c r="A31" s="13" t="s">
        <v>43</v>
      </c>
      <c r="B31" s="14">
        <v>45218</v>
      </c>
      <c r="C31" s="2" t="s">
        <v>14</v>
      </c>
      <c r="D31" s="2" t="s">
        <v>25</v>
      </c>
      <c r="E31" s="15">
        <v>34743</v>
      </c>
      <c r="F31" s="2">
        <v>10</v>
      </c>
      <c r="G31" s="15">
        <f>SalesData!$E31*SalesData!$F31</f>
        <v>347430</v>
      </c>
    </row>
    <row r="32" spans="1:7" x14ac:dyDescent="0.35">
      <c r="A32" s="16" t="s">
        <v>44</v>
      </c>
      <c r="B32" s="17">
        <v>45177</v>
      </c>
      <c r="C32" s="3" t="s">
        <v>14</v>
      </c>
      <c r="D32" s="3" t="s">
        <v>29</v>
      </c>
      <c r="E32" s="18">
        <v>47703</v>
      </c>
      <c r="F32" s="3">
        <v>3</v>
      </c>
      <c r="G32" s="18">
        <f>SalesData!$E32*SalesData!$F32</f>
        <v>143109</v>
      </c>
    </row>
    <row r="33" spans="1:7" x14ac:dyDescent="0.35">
      <c r="A33" s="13" t="s">
        <v>45</v>
      </c>
      <c r="B33" s="14">
        <v>45031</v>
      </c>
      <c r="C33" s="2" t="s">
        <v>31</v>
      </c>
      <c r="D33" s="2" t="s">
        <v>25</v>
      </c>
      <c r="E33" s="15">
        <v>44817</v>
      </c>
      <c r="F33" s="2">
        <v>10</v>
      </c>
      <c r="G33" s="15">
        <f>SalesData!$E33*SalesData!$F33</f>
        <v>448170</v>
      </c>
    </row>
    <row r="34" spans="1:7" x14ac:dyDescent="0.35">
      <c r="A34" s="16" t="s">
        <v>46</v>
      </c>
      <c r="B34" s="17">
        <v>45272</v>
      </c>
      <c r="C34" s="3" t="s">
        <v>31</v>
      </c>
      <c r="D34" s="3" t="s">
        <v>25</v>
      </c>
      <c r="E34" s="18">
        <v>16947</v>
      </c>
      <c r="F34" s="3">
        <v>6</v>
      </c>
      <c r="G34" s="18">
        <f>SalesData!$E34*SalesData!$F34</f>
        <v>101682</v>
      </c>
    </row>
    <row r="35" spans="1:7" x14ac:dyDescent="0.35">
      <c r="A35" s="13" t="s">
        <v>47</v>
      </c>
      <c r="B35" s="14">
        <v>45134</v>
      </c>
      <c r="C35" s="2" t="s">
        <v>14</v>
      </c>
      <c r="D35" s="2" t="s">
        <v>20</v>
      </c>
      <c r="E35" s="15">
        <v>11730</v>
      </c>
      <c r="F35" s="2">
        <v>5</v>
      </c>
      <c r="G35" s="15">
        <f>SalesData!$E35*SalesData!$F35</f>
        <v>58650</v>
      </c>
    </row>
    <row r="36" spans="1:7" x14ac:dyDescent="0.35">
      <c r="A36" s="16" t="s">
        <v>48</v>
      </c>
      <c r="B36" s="17">
        <v>45071</v>
      </c>
      <c r="C36" s="3" t="s">
        <v>16</v>
      </c>
      <c r="D36" s="3" t="s">
        <v>17</v>
      </c>
      <c r="E36" s="18">
        <v>31531</v>
      </c>
      <c r="F36" s="3">
        <v>4</v>
      </c>
      <c r="G36" s="18">
        <f>SalesData!$E36*SalesData!$F36</f>
        <v>126124</v>
      </c>
    </row>
    <row r="37" spans="1:7" x14ac:dyDescent="0.35">
      <c r="A37" s="13" t="s">
        <v>49</v>
      </c>
      <c r="B37" s="14">
        <v>45084</v>
      </c>
      <c r="C37" s="2" t="s">
        <v>14</v>
      </c>
      <c r="D37" s="2" t="s">
        <v>29</v>
      </c>
      <c r="E37" s="15">
        <v>27655</v>
      </c>
      <c r="F37" s="2">
        <v>5</v>
      </c>
      <c r="G37" s="15">
        <f>SalesData!$E37*SalesData!$F37</f>
        <v>138275</v>
      </c>
    </row>
    <row r="38" spans="1:7" x14ac:dyDescent="0.35">
      <c r="A38" s="16" t="s">
        <v>50</v>
      </c>
      <c r="B38" s="17">
        <v>45086</v>
      </c>
      <c r="C38" s="3" t="s">
        <v>89</v>
      </c>
      <c r="D38" s="3" t="s">
        <v>17</v>
      </c>
      <c r="E38" s="18">
        <v>37821</v>
      </c>
      <c r="F38" s="3">
        <v>9</v>
      </c>
      <c r="G38" s="18">
        <f>SalesData!$E38*SalesData!$F38</f>
        <v>340389</v>
      </c>
    </row>
    <row r="39" spans="1:7" x14ac:dyDescent="0.35">
      <c r="A39" s="13" t="s">
        <v>51</v>
      </c>
      <c r="B39" s="14">
        <v>45003</v>
      </c>
      <c r="C39" s="2" t="s">
        <v>16</v>
      </c>
      <c r="D39" s="2" t="s">
        <v>17</v>
      </c>
      <c r="E39" s="15">
        <v>47288</v>
      </c>
      <c r="F39" s="2">
        <v>9</v>
      </c>
      <c r="G39" s="15">
        <f>SalesData!$E39*SalesData!$F39</f>
        <v>425592</v>
      </c>
    </row>
    <row r="40" spans="1:7" x14ac:dyDescent="0.35">
      <c r="A40" s="16" t="s">
        <v>52</v>
      </c>
      <c r="B40" s="17">
        <v>44984</v>
      </c>
      <c r="C40" s="3" t="s">
        <v>89</v>
      </c>
      <c r="D40" s="3" t="s">
        <v>20</v>
      </c>
      <c r="E40" s="18">
        <v>2337</v>
      </c>
      <c r="F40" s="3">
        <v>6</v>
      </c>
      <c r="G40" s="18">
        <f>SalesData!$E40*SalesData!$F40</f>
        <v>14022</v>
      </c>
    </row>
    <row r="41" spans="1:7" x14ac:dyDescent="0.35">
      <c r="A41" s="13" t="s">
        <v>53</v>
      </c>
      <c r="B41" s="14">
        <v>45153</v>
      </c>
      <c r="C41" s="2" t="s">
        <v>14</v>
      </c>
      <c r="D41" s="2" t="s">
        <v>20</v>
      </c>
      <c r="E41" s="15">
        <v>14135</v>
      </c>
      <c r="F41" s="2">
        <v>4</v>
      </c>
      <c r="G41" s="15">
        <f>SalesData!$E41*SalesData!$F41</f>
        <v>56540</v>
      </c>
    </row>
    <row r="42" spans="1:7" x14ac:dyDescent="0.35">
      <c r="A42" s="16" t="s">
        <v>54</v>
      </c>
      <c r="B42" s="17">
        <v>45274</v>
      </c>
      <c r="C42" s="3" t="s">
        <v>31</v>
      </c>
      <c r="D42" s="3" t="s">
        <v>20</v>
      </c>
      <c r="E42" s="18">
        <v>19496</v>
      </c>
      <c r="F42" s="3">
        <v>7</v>
      </c>
      <c r="G42" s="18">
        <f>SalesData!$E42*SalesData!$F42</f>
        <v>136472</v>
      </c>
    </row>
    <row r="43" spans="1:7" x14ac:dyDescent="0.35">
      <c r="A43" s="13" t="s">
        <v>55</v>
      </c>
      <c r="B43" s="14">
        <v>45102</v>
      </c>
      <c r="C43" s="2" t="s">
        <v>31</v>
      </c>
      <c r="D43" s="2" t="s">
        <v>23</v>
      </c>
      <c r="E43" s="15">
        <v>13398</v>
      </c>
      <c r="F43" s="2">
        <v>6</v>
      </c>
      <c r="G43" s="15">
        <f>SalesData!$E43*SalesData!$F43</f>
        <v>80388</v>
      </c>
    </row>
    <row r="44" spans="1:7" x14ac:dyDescent="0.35">
      <c r="A44" s="16" t="s">
        <v>56</v>
      </c>
      <c r="B44" s="17">
        <v>45055</v>
      </c>
      <c r="C44" s="3" t="s">
        <v>31</v>
      </c>
      <c r="D44" s="3" t="s">
        <v>25</v>
      </c>
      <c r="E44" s="18">
        <v>6454</v>
      </c>
      <c r="F44" s="3">
        <v>7</v>
      </c>
      <c r="G44" s="18">
        <f>SalesData!$E44*SalesData!$F44</f>
        <v>45178</v>
      </c>
    </row>
    <row r="45" spans="1:7" x14ac:dyDescent="0.35">
      <c r="A45" s="13" t="s">
        <v>57</v>
      </c>
      <c r="B45" s="14">
        <v>45072</v>
      </c>
      <c r="C45" s="2" t="s">
        <v>14</v>
      </c>
      <c r="D45" s="2" t="s">
        <v>23</v>
      </c>
      <c r="E45" s="15">
        <v>25729</v>
      </c>
      <c r="F45" s="2">
        <v>3</v>
      </c>
      <c r="G45" s="15">
        <f>SalesData!$E45*SalesData!$F45</f>
        <v>77187</v>
      </c>
    </row>
    <row r="46" spans="1:7" x14ac:dyDescent="0.35">
      <c r="A46" s="16" t="s">
        <v>58</v>
      </c>
      <c r="B46" s="17">
        <v>45096</v>
      </c>
      <c r="C46" s="3" t="s">
        <v>89</v>
      </c>
      <c r="D46" s="3" t="s">
        <v>23</v>
      </c>
      <c r="E46" s="18">
        <v>11448</v>
      </c>
      <c r="F46" s="3">
        <v>4</v>
      </c>
      <c r="G46" s="18">
        <f>SalesData!$E46*SalesData!$F46</f>
        <v>45792</v>
      </c>
    </row>
    <row r="47" spans="1:7" x14ac:dyDescent="0.35">
      <c r="A47" s="13" t="s">
        <v>59</v>
      </c>
      <c r="B47" s="14">
        <v>44950</v>
      </c>
      <c r="C47" s="2" t="s">
        <v>16</v>
      </c>
      <c r="D47" s="2" t="s">
        <v>20</v>
      </c>
      <c r="E47" s="15">
        <v>17050</v>
      </c>
      <c r="F47" s="2">
        <v>3</v>
      </c>
      <c r="G47" s="15">
        <f>SalesData!$E47*SalesData!$F47</f>
        <v>51150</v>
      </c>
    </row>
    <row r="48" spans="1:7" x14ac:dyDescent="0.35">
      <c r="A48" s="16" t="s">
        <v>60</v>
      </c>
      <c r="B48" s="17">
        <v>45222</v>
      </c>
      <c r="C48" s="3" t="s">
        <v>89</v>
      </c>
      <c r="D48" s="3" t="s">
        <v>17</v>
      </c>
      <c r="E48" s="18">
        <v>2629</v>
      </c>
      <c r="F48" s="3">
        <v>6</v>
      </c>
      <c r="G48" s="18">
        <f>SalesData!$E48*SalesData!$F48</f>
        <v>15774</v>
      </c>
    </row>
    <row r="49" spans="1:7" x14ac:dyDescent="0.35">
      <c r="A49" s="13" t="s">
        <v>61</v>
      </c>
      <c r="B49" s="14">
        <v>45245</v>
      </c>
      <c r="C49" s="2" t="s">
        <v>89</v>
      </c>
      <c r="D49" s="2" t="s">
        <v>25</v>
      </c>
      <c r="E49" s="15">
        <v>34160</v>
      </c>
      <c r="F49" s="2">
        <v>1</v>
      </c>
      <c r="G49" s="15">
        <f>SalesData!$E49*SalesData!$F49</f>
        <v>34160</v>
      </c>
    </row>
    <row r="50" spans="1:7" x14ac:dyDescent="0.35">
      <c r="A50" s="16" t="s">
        <v>62</v>
      </c>
      <c r="B50" s="17">
        <v>45158</v>
      </c>
      <c r="C50" s="3" t="s">
        <v>16</v>
      </c>
      <c r="D50" s="3" t="s">
        <v>20</v>
      </c>
      <c r="E50" s="18">
        <v>33754</v>
      </c>
      <c r="F50" s="3">
        <v>1</v>
      </c>
      <c r="G50" s="18">
        <f>SalesData!$E50*SalesData!$F50</f>
        <v>33754</v>
      </c>
    </row>
    <row r="51" spans="1:7" x14ac:dyDescent="0.35">
      <c r="A51" s="13" t="s">
        <v>63</v>
      </c>
      <c r="B51" s="14">
        <v>45181</v>
      </c>
      <c r="C51" s="2" t="s">
        <v>14</v>
      </c>
      <c r="D51" s="2" t="s">
        <v>20</v>
      </c>
      <c r="E51" s="15">
        <v>17979</v>
      </c>
      <c r="F51" s="2">
        <v>8</v>
      </c>
      <c r="G51" s="15">
        <f>SalesData!$E51*SalesData!$F51</f>
        <v>143832</v>
      </c>
    </row>
    <row r="52" spans="1:7" x14ac:dyDescent="0.35">
      <c r="A52" s="16" t="s">
        <v>64</v>
      </c>
      <c r="B52" s="17">
        <v>44935</v>
      </c>
      <c r="C52" s="3" t="s">
        <v>89</v>
      </c>
      <c r="D52" s="3" t="s">
        <v>29</v>
      </c>
      <c r="E52" s="18">
        <v>10828</v>
      </c>
      <c r="F52" s="3">
        <v>1</v>
      </c>
      <c r="G52" s="18">
        <f>SalesData!$E52*SalesData!$F52</f>
        <v>10828</v>
      </c>
    </row>
    <row r="53" spans="1:7" x14ac:dyDescent="0.35">
      <c r="A53" s="13" t="s">
        <v>65</v>
      </c>
      <c r="B53" s="14">
        <v>45112</v>
      </c>
      <c r="C53" s="2" t="s">
        <v>14</v>
      </c>
      <c r="D53" s="2" t="s">
        <v>29</v>
      </c>
      <c r="E53" s="15">
        <v>2093</v>
      </c>
      <c r="F53" s="2">
        <v>7</v>
      </c>
      <c r="G53" s="15">
        <f>SalesData!$E53*SalesData!$F53</f>
        <v>14651</v>
      </c>
    </row>
    <row r="54" spans="1:7" x14ac:dyDescent="0.35">
      <c r="A54" s="16" t="s">
        <v>66</v>
      </c>
      <c r="B54" s="17">
        <v>45195</v>
      </c>
      <c r="C54" s="3" t="s">
        <v>14</v>
      </c>
      <c r="D54" s="3" t="s">
        <v>17</v>
      </c>
      <c r="E54" s="18">
        <v>28232</v>
      </c>
      <c r="F54" s="3">
        <v>7</v>
      </c>
      <c r="G54" s="18">
        <f>SalesData!$E54*SalesData!$F54</f>
        <v>197624</v>
      </c>
    </row>
    <row r="55" spans="1:7" x14ac:dyDescent="0.35">
      <c r="A55" s="13" t="s">
        <v>67</v>
      </c>
      <c r="B55" s="14">
        <v>45101</v>
      </c>
      <c r="C55" s="2" t="s">
        <v>89</v>
      </c>
      <c r="D55" s="2" t="s">
        <v>25</v>
      </c>
      <c r="E55" s="15">
        <v>23237</v>
      </c>
      <c r="F55" s="2">
        <v>9</v>
      </c>
      <c r="G55" s="15">
        <f>SalesData!$E55*SalesData!$F55</f>
        <v>209133</v>
      </c>
    </row>
    <row r="56" spans="1:7" x14ac:dyDescent="0.35">
      <c r="A56" s="16" t="s">
        <v>68</v>
      </c>
      <c r="B56" s="17">
        <v>45066</v>
      </c>
      <c r="C56" s="3" t="s">
        <v>89</v>
      </c>
      <c r="D56" s="3" t="s">
        <v>20</v>
      </c>
      <c r="E56" s="18">
        <v>13642</v>
      </c>
      <c r="F56" s="3">
        <v>2</v>
      </c>
      <c r="G56" s="18">
        <f>SalesData!$E56*SalesData!$F56</f>
        <v>27284</v>
      </c>
    </row>
    <row r="57" spans="1:7" x14ac:dyDescent="0.35">
      <c r="A57" s="13" t="s">
        <v>69</v>
      </c>
      <c r="B57" s="14">
        <v>45286</v>
      </c>
      <c r="C57" s="2" t="s">
        <v>16</v>
      </c>
      <c r="D57" s="2" t="s">
        <v>20</v>
      </c>
      <c r="E57" s="15">
        <v>42305</v>
      </c>
      <c r="F57" s="2">
        <v>2</v>
      </c>
      <c r="G57" s="15">
        <f>SalesData!$E57*SalesData!$F57</f>
        <v>84610</v>
      </c>
    </row>
    <row r="58" spans="1:7" x14ac:dyDescent="0.35">
      <c r="A58" s="16" t="s">
        <v>70</v>
      </c>
      <c r="B58" s="17">
        <v>45282</v>
      </c>
      <c r="C58" s="3" t="s">
        <v>16</v>
      </c>
      <c r="D58" s="3" t="s">
        <v>23</v>
      </c>
      <c r="E58" s="18">
        <v>30670</v>
      </c>
      <c r="F58" s="3">
        <v>5</v>
      </c>
      <c r="G58" s="18">
        <f>SalesData!$E58*SalesData!$F58</f>
        <v>153350</v>
      </c>
    </row>
    <row r="59" spans="1:7" x14ac:dyDescent="0.35">
      <c r="A59" s="13" t="s">
        <v>71</v>
      </c>
      <c r="B59" s="14">
        <v>45192</v>
      </c>
      <c r="C59" s="2" t="s">
        <v>89</v>
      </c>
      <c r="D59" s="2" t="s">
        <v>17</v>
      </c>
      <c r="E59" s="15">
        <v>32285</v>
      </c>
      <c r="F59" s="2">
        <v>5</v>
      </c>
      <c r="G59" s="15">
        <f>SalesData!$E59*SalesData!$F59</f>
        <v>161425</v>
      </c>
    </row>
    <row r="60" spans="1:7" x14ac:dyDescent="0.35">
      <c r="A60" s="16" t="s">
        <v>72</v>
      </c>
      <c r="B60" s="17">
        <v>45170</v>
      </c>
      <c r="C60" s="3" t="s">
        <v>31</v>
      </c>
      <c r="D60" s="3" t="s">
        <v>29</v>
      </c>
      <c r="E60" s="18">
        <v>9050</v>
      </c>
      <c r="F60" s="3">
        <v>4</v>
      </c>
      <c r="G60" s="18">
        <f>SalesData!$E60*SalesData!$F60</f>
        <v>36200</v>
      </c>
    </row>
    <row r="61" spans="1:7" x14ac:dyDescent="0.35">
      <c r="A61" s="13" t="s">
        <v>73</v>
      </c>
      <c r="B61" s="14">
        <v>45110</v>
      </c>
      <c r="C61" s="2" t="s">
        <v>89</v>
      </c>
      <c r="D61" s="2" t="s">
        <v>23</v>
      </c>
      <c r="E61" s="15">
        <v>40435</v>
      </c>
      <c r="F61" s="2">
        <v>4</v>
      </c>
      <c r="G61" s="15">
        <f>SalesData!$E61*SalesData!$F61</f>
        <v>161740</v>
      </c>
    </row>
    <row r="62" spans="1:7" x14ac:dyDescent="0.35">
      <c r="A62" s="16" t="s">
        <v>74</v>
      </c>
      <c r="B62" s="17">
        <v>45154</v>
      </c>
      <c r="C62" s="3" t="s">
        <v>31</v>
      </c>
      <c r="D62" s="3" t="s">
        <v>17</v>
      </c>
      <c r="E62" s="18">
        <v>7591</v>
      </c>
      <c r="F62" s="3">
        <v>8</v>
      </c>
      <c r="G62" s="18">
        <f>SalesData!$E62*SalesData!$F62</f>
        <v>60728</v>
      </c>
    </row>
    <row r="63" spans="1:7" x14ac:dyDescent="0.35">
      <c r="A63" s="13" t="s">
        <v>75</v>
      </c>
      <c r="B63" s="14">
        <v>45242</v>
      </c>
      <c r="C63" s="2" t="s">
        <v>14</v>
      </c>
      <c r="D63" s="2" t="s">
        <v>20</v>
      </c>
      <c r="E63" s="15">
        <v>37862</v>
      </c>
      <c r="F63" s="2">
        <v>1</v>
      </c>
      <c r="G63" s="15">
        <f>SalesData!$E63*SalesData!$F63</f>
        <v>37862</v>
      </c>
    </row>
    <row r="64" spans="1:7" x14ac:dyDescent="0.35">
      <c r="A64" s="16" t="s">
        <v>76</v>
      </c>
      <c r="B64" s="17">
        <v>44941</v>
      </c>
      <c r="C64" s="3" t="s">
        <v>16</v>
      </c>
      <c r="D64" s="3" t="s">
        <v>29</v>
      </c>
      <c r="E64" s="18">
        <v>7970</v>
      </c>
      <c r="F64" s="3">
        <v>8</v>
      </c>
      <c r="G64" s="18">
        <f>SalesData!$E64*SalesData!$F64</f>
        <v>63760</v>
      </c>
    </row>
    <row r="65" spans="1:7" x14ac:dyDescent="0.35">
      <c r="A65" s="13" t="s">
        <v>77</v>
      </c>
      <c r="B65" s="14">
        <v>45167</v>
      </c>
      <c r="C65" s="2" t="s">
        <v>16</v>
      </c>
      <c r="D65" s="2" t="s">
        <v>29</v>
      </c>
      <c r="E65" s="15">
        <v>49623</v>
      </c>
      <c r="F65" s="2">
        <v>10</v>
      </c>
      <c r="G65" s="15">
        <f>SalesData!$E65*SalesData!$F65</f>
        <v>496230</v>
      </c>
    </row>
    <row r="66" spans="1:7" x14ac:dyDescent="0.35">
      <c r="A66" s="16" t="s">
        <v>78</v>
      </c>
      <c r="B66" s="17">
        <v>44960</v>
      </c>
      <c r="C66" s="3" t="s">
        <v>89</v>
      </c>
      <c r="D66" s="3" t="s">
        <v>17</v>
      </c>
      <c r="E66" s="18">
        <v>36495</v>
      </c>
      <c r="F66" s="3">
        <v>4</v>
      </c>
      <c r="G66" s="18">
        <f>SalesData!$E66*SalesData!$F66</f>
        <v>145980</v>
      </c>
    </row>
    <row r="67" spans="1:7" x14ac:dyDescent="0.35">
      <c r="A67" s="13" t="s">
        <v>79</v>
      </c>
      <c r="B67" s="14">
        <v>44991</v>
      </c>
      <c r="C67" s="2" t="s">
        <v>31</v>
      </c>
      <c r="D67" s="2" t="s">
        <v>29</v>
      </c>
      <c r="E67" s="15">
        <v>9885</v>
      </c>
      <c r="F67" s="2">
        <v>4</v>
      </c>
      <c r="G67" s="15">
        <f>SalesData!$E67*SalesData!$F67</f>
        <v>39540</v>
      </c>
    </row>
    <row r="68" spans="1:7" x14ac:dyDescent="0.35">
      <c r="A68" s="16" t="s">
        <v>80</v>
      </c>
      <c r="B68" s="17">
        <v>45060</v>
      </c>
      <c r="C68" s="3" t="s">
        <v>14</v>
      </c>
      <c r="D68" s="3" t="s">
        <v>25</v>
      </c>
      <c r="E68" s="18">
        <v>38623</v>
      </c>
      <c r="F68" s="3">
        <v>7</v>
      </c>
      <c r="G68" s="18">
        <f>SalesData!$E68*SalesData!$F68</f>
        <v>270361</v>
      </c>
    </row>
    <row r="69" spans="1:7" x14ac:dyDescent="0.35">
      <c r="A69" s="13" t="s">
        <v>81</v>
      </c>
      <c r="B69" s="14">
        <v>45121</v>
      </c>
      <c r="C69" s="2" t="s">
        <v>14</v>
      </c>
      <c r="D69" s="2" t="s">
        <v>17</v>
      </c>
      <c r="E69" s="15">
        <v>13666</v>
      </c>
      <c r="F69" s="2">
        <v>10</v>
      </c>
      <c r="G69" s="15">
        <f>SalesData!$E69*SalesData!$F69</f>
        <v>136660</v>
      </c>
    </row>
    <row r="70" spans="1:7" x14ac:dyDescent="0.35">
      <c r="A70" s="13" t="s">
        <v>82</v>
      </c>
      <c r="B70" s="14">
        <v>45032</v>
      </c>
      <c r="C70" s="2" t="s">
        <v>16</v>
      </c>
      <c r="D70" s="2" t="s">
        <v>20</v>
      </c>
      <c r="E70" s="15">
        <v>16081</v>
      </c>
      <c r="F70" s="2">
        <v>9</v>
      </c>
      <c r="G70" s="15">
        <f>SalesData!$E70*SalesData!$F70</f>
        <v>144729</v>
      </c>
    </row>
    <row r="71" spans="1:7" x14ac:dyDescent="0.35">
      <c r="A71" s="16" t="s">
        <v>83</v>
      </c>
      <c r="B71" s="17">
        <v>45274</v>
      </c>
      <c r="C71" s="3" t="s">
        <v>89</v>
      </c>
      <c r="D71" s="3" t="s">
        <v>17</v>
      </c>
      <c r="E71" s="18">
        <v>38910</v>
      </c>
      <c r="F71" s="3">
        <v>1</v>
      </c>
      <c r="G71" s="18">
        <f>SalesData!$E71*SalesData!$F71</f>
        <v>38910</v>
      </c>
    </row>
    <row r="72" spans="1:7" x14ac:dyDescent="0.35">
      <c r="A72" s="13" t="s">
        <v>84</v>
      </c>
      <c r="B72" s="14">
        <v>44933</v>
      </c>
      <c r="C72" s="2" t="s">
        <v>16</v>
      </c>
      <c r="D72" s="2" t="s">
        <v>23</v>
      </c>
      <c r="E72" s="15">
        <v>45053</v>
      </c>
      <c r="F72" s="2">
        <v>5</v>
      </c>
      <c r="G72" s="15">
        <f>SalesData!$E72*SalesData!$F72</f>
        <v>225265</v>
      </c>
    </row>
    <row r="73" spans="1:7" x14ac:dyDescent="0.35">
      <c r="A73" s="16" t="s">
        <v>85</v>
      </c>
      <c r="B73" s="17">
        <v>45071</v>
      </c>
      <c r="C73" s="3" t="s">
        <v>14</v>
      </c>
      <c r="D73" s="3" t="s">
        <v>17</v>
      </c>
      <c r="E73" s="18">
        <v>28379</v>
      </c>
      <c r="F73" s="3">
        <v>6</v>
      </c>
      <c r="G73" s="18">
        <f>SalesData!$E73*SalesData!$F73</f>
        <v>170274</v>
      </c>
    </row>
    <row r="74" spans="1:7" x14ac:dyDescent="0.35">
      <c r="A74" s="13" t="s">
        <v>86</v>
      </c>
      <c r="B74" s="14">
        <v>44936</v>
      </c>
      <c r="C74" s="2" t="s">
        <v>16</v>
      </c>
      <c r="D74" s="2" t="s">
        <v>29</v>
      </c>
      <c r="E74" s="15">
        <v>41880</v>
      </c>
      <c r="F74" s="2">
        <v>4</v>
      </c>
      <c r="G74" s="15">
        <f>SalesData!$E74*SalesData!$F74</f>
        <v>167520</v>
      </c>
    </row>
    <row r="75" spans="1:7" x14ac:dyDescent="0.35">
      <c r="A75" s="16" t="s">
        <v>87</v>
      </c>
      <c r="B75" s="17">
        <v>45010</v>
      </c>
      <c r="C75" s="3" t="s">
        <v>16</v>
      </c>
      <c r="D75" s="3" t="s">
        <v>23</v>
      </c>
      <c r="E75" s="18">
        <v>35220</v>
      </c>
      <c r="F75" s="3">
        <v>1</v>
      </c>
      <c r="G75" s="18">
        <f>SalesData!$E75*SalesData!$F75</f>
        <v>35220</v>
      </c>
    </row>
    <row r="76" spans="1:7" x14ac:dyDescent="0.35">
      <c r="A76" s="13" t="s">
        <v>88</v>
      </c>
      <c r="B76" s="14">
        <v>45216</v>
      </c>
      <c r="C76" s="2" t="s">
        <v>89</v>
      </c>
      <c r="D76" s="2" t="s">
        <v>23</v>
      </c>
      <c r="E76" s="15">
        <v>46647</v>
      </c>
      <c r="F76" s="2">
        <v>4</v>
      </c>
      <c r="G76" s="15">
        <f>SalesData!$E76*SalesData!$F76</f>
        <v>186588</v>
      </c>
    </row>
    <row r="77" spans="1:7" x14ac:dyDescent="0.35">
      <c r="A77" s="16" t="s">
        <v>90</v>
      </c>
      <c r="B77" s="17">
        <v>45142</v>
      </c>
      <c r="C77" s="3" t="s">
        <v>89</v>
      </c>
      <c r="D77" s="3" t="s">
        <v>29</v>
      </c>
      <c r="E77" s="18">
        <v>1746</v>
      </c>
      <c r="F77" s="3">
        <v>9</v>
      </c>
      <c r="G77" s="18">
        <f>SalesData!$E77*SalesData!$F77</f>
        <v>15714</v>
      </c>
    </row>
    <row r="78" spans="1:7" x14ac:dyDescent="0.35">
      <c r="A78" s="13" t="s">
        <v>91</v>
      </c>
      <c r="B78" s="14">
        <v>45197</v>
      </c>
      <c r="C78" s="2" t="s">
        <v>14</v>
      </c>
      <c r="D78" s="2" t="s">
        <v>25</v>
      </c>
      <c r="E78" s="15">
        <v>21420</v>
      </c>
      <c r="F78" s="2">
        <v>10</v>
      </c>
      <c r="G78" s="15">
        <f>SalesData!$E78*SalesData!$F78</f>
        <v>214200</v>
      </c>
    </row>
    <row r="79" spans="1:7" x14ac:dyDescent="0.35">
      <c r="A79" s="16" t="s">
        <v>92</v>
      </c>
      <c r="B79" s="17">
        <v>45152</v>
      </c>
      <c r="C79" s="3" t="s">
        <v>89</v>
      </c>
      <c r="D79" s="3" t="s">
        <v>25</v>
      </c>
      <c r="E79" s="18">
        <v>23669</v>
      </c>
      <c r="F79" s="3">
        <v>3</v>
      </c>
      <c r="G79" s="18">
        <f>SalesData!$E79*SalesData!$F79</f>
        <v>71007</v>
      </c>
    </row>
    <row r="80" spans="1:7" x14ac:dyDescent="0.35">
      <c r="A80" s="13" t="s">
        <v>93</v>
      </c>
      <c r="B80" s="14">
        <v>45288</v>
      </c>
      <c r="C80" s="2" t="s">
        <v>89</v>
      </c>
      <c r="D80" s="2" t="s">
        <v>23</v>
      </c>
      <c r="E80" s="15">
        <v>7265</v>
      </c>
      <c r="F80" s="2">
        <v>7</v>
      </c>
      <c r="G80" s="15">
        <f>SalesData!$E80*SalesData!$F80</f>
        <v>50855</v>
      </c>
    </row>
    <row r="81" spans="1:7" x14ac:dyDescent="0.35">
      <c r="A81" s="16" t="s">
        <v>94</v>
      </c>
      <c r="B81" s="17">
        <v>45039</v>
      </c>
      <c r="C81" s="3" t="s">
        <v>16</v>
      </c>
      <c r="D81" s="3" t="s">
        <v>29</v>
      </c>
      <c r="E81" s="18">
        <v>18148</v>
      </c>
      <c r="F81" s="3">
        <v>1</v>
      </c>
      <c r="G81" s="18">
        <f>SalesData!$E81*SalesData!$F81</f>
        <v>18148</v>
      </c>
    </row>
    <row r="82" spans="1:7" x14ac:dyDescent="0.35">
      <c r="A82" s="13" t="s">
        <v>95</v>
      </c>
      <c r="B82" s="14">
        <v>45207</v>
      </c>
      <c r="C82" s="2" t="s">
        <v>31</v>
      </c>
      <c r="D82" s="2" t="s">
        <v>20</v>
      </c>
      <c r="E82" s="15">
        <v>26278</v>
      </c>
      <c r="F82" s="2">
        <v>10</v>
      </c>
      <c r="G82" s="15">
        <f>SalesData!$E82*SalesData!$F82</f>
        <v>262780</v>
      </c>
    </row>
    <row r="83" spans="1:7" x14ac:dyDescent="0.35">
      <c r="A83" s="16" t="s">
        <v>96</v>
      </c>
      <c r="B83" s="17">
        <v>45266</v>
      </c>
      <c r="C83" s="3" t="s">
        <v>14</v>
      </c>
      <c r="D83" s="3" t="s">
        <v>23</v>
      </c>
      <c r="E83" s="18">
        <v>11137</v>
      </c>
      <c r="F83" s="3">
        <v>4</v>
      </c>
      <c r="G83" s="18">
        <f>SalesData!$E83*SalesData!$F83</f>
        <v>44548</v>
      </c>
    </row>
    <row r="84" spans="1:7" x14ac:dyDescent="0.35">
      <c r="A84" s="13" t="s">
        <v>97</v>
      </c>
      <c r="B84" s="14">
        <v>44938</v>
      </c>
      <c r="C84" s="2" t="s">
        <v>16</v>
      </c>
      <c r="D84" s="2" t="s">
        <v>29</v>
      </c>
      <c r="E84" s="15">
        <v>38261</v>
      </c>
      <c r="F84" s="2">
        <v>7</v>
      </c>
      <c r="G84" s="15">
        <f>SalesData!$E84*SalesData!$F84</f>
        <v>267827</v>
      </c>
    </row>
    <row r="85" spans="1:7" x14ac:dyDescent="0.35">
      <c r="A85" s="16" t="s">
        <v>98</v>
      </c>
      <c r="B85" s="17">
        <v>45291</v>
      </c>
      <c r="C85" s="3" t="s">
        <v>31</v>
      </c>
      <c r="D85" s="3" t="s">
        <v>23</v>
      </c>
      <c r="E85" s="18">
        <v>40620</v>
      </c>
      <c r="F85" s="3">
        <v>3</v>
      </c>
      <c r="G85" s="18">
        <f>SalesData!$E85*SalesData!$F85</f>
        <v>121860</v>
      </c>
    </row>
    <row r="86" spans="1:7" x14ac:dyDescent="0.35">
      <c r="A86" s="13" t="s">
        <v>99</v>
      </c>
      <c r="B86" s="14">
        <v>45182</v>
      </c>
      <c r="C86" s="2" t="s">
        <v>14</v>
      </c>
      <c r="D86" s="2" t="s">
        <v>23</v>
      </c>
      <c r="E86" s="15">
        <v>41419</v>
      </c>
      <c r="F86" s="2">
        <v>5</v>
      </c>
      <c r="G86" s="15">
        <f>SalesData!$E86*SalesData!$F86</f>
        <v>207095</v>
      </c>
    </row>
    <row r="87" spans="1:7" x14ac:dyDescent="0.35">
      <c r="A87" s="13" t="s">
        <v>100</v>
      </c>
      <c r="B87" s="14">
        <v>45266</v>
      </c>
      <c r="C87" s="2" t="s">
        <v>14</v>
      </c>
      <c r="D87" s="2" t="s">
        <v>17</v>
      </c>
      <c r="E87" s="15">
        <v>43048</v>
      </c>
      <c r="F87" s="2">
        <v>4</v>
      </c>
      <c r="G87" s="15">
        <f>SalesData!$E87*SalesData!$F87</f>
        <v>172192</v>
      </c>
    </row>
    <row r="88" spans="1:7" x14ac:dyDescent="0.35">
      <c r="A88" s="16" t="s">
        <v>101</v>
      </c>
      <c r="B88" s="17">
        <v>44975</v>
      </c>
      <c r="C88" s="3" t="s">
        <v>31</v>
      </c>
      <c r="D88" s="3" t="s">
        <v>23</v>
      </c>
      <c r="E88" s="18">
        <v>34534</v>
      </c>
      <c r="F88" s="3">
        <v>1</v>
      </c>
      <c r="G88" s="18">
        <f>SalesData!$E88*SalesData!$F88</f>
        <v>34534</v>
      </c>
    </row>
    <row r="89" spans="1:7" x14ac:dyDescent="0.35">
      <c r="A89" s="13" t="s">
        <v>102</v>
      </c>
      <c r="B89" s="14">
        <v>45171</v>
      </c>
      <c r="C89" s="2" t="s">
        <v>16</v>
      </c>
      <c r="D89" s="2" t="s">
        <v>29</v>
      </c>
      <c r="E89" s="15">
        <v>37688</v>
      </c>
      <c r="F89" s="2">
        <v>3</v>
      </c>
      <c r="G89" s="15">
        <f>SalesData!$E89*SalesData!$F89</f>
        <v>113064</v>
      </c>
    </row>
    <row r="90" spans="1:7" x14ac:dyDescent="0.35">
      <c r="A90" s="16" t="s">
        <v>103</v>
      </c>
      <c r="B90" s="17">
        <v>45127</v>
      </c>
      <c r="C90" s="3" t="s">
        <v>89</v>
      </c>
      <c r="D90" s="3" t="s">
        <v>23</v>
      </c>
      <c r="E90" s="18">
        <v>32232</v>
      </c>
      <c r="F90" s="3">
        <v>4</v>
      </c>
      <c r="G90" s="18">
        <f>SalesData!$E90*SalesData!$F90</f>
        <v>128928</v>
      </c>
    </row>
    <row r="91" spans="1:7" x14ac:dyDescent="0.35">
      <c r="A91" s="13" t="s">
        <v>104</v>
      </c>
      <c r="B91" s="14">
        <v>45206</v>
      </c>
      <c r="C91" s="2" t="s">
        <v>14</v>
      </c>
      <c r="D91" s="2" t="s">
        <v>29</v>
      </c>
      <c r="E91" s="15">
        <v>47515</v>
      </c>
      <c r="F91" s="2">
        <v>7</v>
      </c>
      <c r="G91" s="15">
        <f>SalesData!$E91*SalesData!$F91</f>
        <v>332605</v>
      </c>
    </row>
    <row r="92" spans="1:7" x14ac:dyDescent="0.35">
      <c r="A92" s="16" t="s">
        <v>105</v>
      </c>
      <c r="B92" s="17">
        <v>45227</v>
      </c>
      <c r="C92" s="3" t="s">
        <v>14</v>
      </c>
      <c r="D92" s="3" t="s">
        <v>25</v>
      </c>
      <c r="E92" s="18">
        <v>8338</v>
      </c>
      <c r="F92" s="3">
        <v>4</v>
      </c>
      <c r="G92" s="18">
        <f>SalesData!$E92*SalesData!$F92</f>
        <v>33352</v>
      </c>
    </row>
    <row r="93" spans="1:7" x14ac:dyDescent="0.35">
      <c r="A93" s="13" t="s">
        <v>106</v>
      </c>
      <c r="B93" s="14">
        <v>45066</v>
      </c>
      <c r="C93" s="2" t="s">
        <v>16</v>
      </c>
      <c r="D93" s="2" t="s">
        <v>23</v>
      </c>
      <c r="E93" s="15">
        <v>20915</v>
      </c>
      <c r="F93" s="2">
        <v>8</v>
      </c>
      <c r="G93" s="15">
        <f>SalesData!$E93*SalesData!$F93</f>
        <v>167320</v>
      </c>
    </row>
    <row r="94" spans="1:7" x14ac:dyDescent="0.35">
      <c r="A94" s="16" t="s">
        <v>107</v>
      </c>
      <c r="B94" s="17">
        <v>45140</v>
      </c>
      <c r="C94" s="3" t="s">
        <v>14</v>
      </c>
      <c r="D94" s="3" t="s">
        <v>17</v>
      </c>
      <c r="E94" s="18">
        <v>25327</v>
      </c>
      <c r="F94" s="3">
        <v>2</v>
      </c>
      <c r="G94" s="18">
        <f>SalesData!$E94*SalesData!$F94</f>
        <v>50654</v>
      </c>
    </row>
    <row r="95" spans="1:7" x14ac:dyDescent="0.35">
      <c r="A95" s="13" t="s">
        <v>108</v>
      </c>
      <c r="B95" s="14">
        <v>45196</v>
      </c>
      <c r="C95" s="2" t="s">
        <v>31</v>
      </c>
      <c r="D95" s="2" t="s">
        <v>29</v>
      </c>
      <c r="E95" s="15">
        <v>41364</v>
      </c>
      <c r="F95" s="2">
        <v>3</v>
      </c>
      <c r="G95" s="15">
        <f>SalesData!$E95*SalesData!$F95</f>
        <v>124092</v>
      </c>
    </row>
    <row r="96" spans="1:7" x14ac:dyDescent="0.35">
      <c r="A96" s="16" t="s">
        <v>109</v>
      </c>
      <c r="B96" s="17">
        <v>45113</v>
      </c>
      <c r="C96" s="3" t="s">
        <v>16</v>
      </c>
      <c r="D96" s="3" t="s">
        <v>25</v>
      </c>
      <c r="E96" s="18">
        <v>25404</v>
      </c>
      <c r="F96" s="3">
        <v>10</v>
      </c>
      <c r="G96" s="18">
        <f>SalesData!$E96*SalesData!$F96</f>
        <v>254040</v>
      </c>
    </row>
    <row r="97" spans="1:7" x14ac:dyDescent="0.35">
      <c r="A97" s="13" t="s">
        <v>110</v>
      </c>
      <c r="B97" s="14">
        <v>44963</v>
      </c>
      <c r="C97" s="2" t="s">
        <v>14</v>
      </c>
      <c r="D97" s="2" t="s">
        <v>20</v>
      </c>
      <c r="E97" s="15">
        <v>28070</v>
      </c>
      <c r="F97" s="2">
        <v>9</v>
      </c>
      <c r="G97" s="15">
        <f>SalesData!$E97*SalesData!$F97</f>
        <v>252630</v>
      </c>
    </row>
    <row r="98" spans="1:7" x14ac:dyDescent="0.35">
      <c r="A98" s="16" t="s">
        <v>111</v>
      </c>
      <c r="B98" s="17">
        <v>44935</v>
      </c>
      <c r="C98" s="3" t="s">
        <v>14</v>
      </c>
      <c r="D98" s="3" t="s">
        <v>29</v>
      </c>
      <c r="E98" s="18">
        <v>17312</v>
      </c>
      <c r="F98" s="3">
        <v>7</v>
      </c>
      <c r="G98" s="18">
        <f>SalesData!$E98*SalesData!$F98</f>
        <v>121184</v>
      </c>
    </row>
    <row r="99" spans="1:7" x14ac:dyDescent="0.35">
      <c r="A99" s="13" t="s">
        <v>112</v>
      </c>
      <c r="B99" s="14">
        <v>45291</v>
      </c>
      <c r="C99" s="2" t="s">
        <v>14</v>
      </c>
      <c r="D99" s="2" t="s">
        <v>20</v>
      </c>
      <c r="E99" s="15">
        <v>5208</v>
      </c>
      <c r="F99" s="2">
        <v>6</v>
      </c>
      <c r="G99" s="15">
        <f>SalesData!$E99*SalesData!$F99</f>
        <v>31248</v>
      </c>
    </row>
    <row r="100" spans="1:7" x14ac:dyDescent="0.35">
      <c r="A100" s="16" t="s">
        <v>113</v>
      </c>
      <c r="B100" s="17">
        <v>45081</v>
      </c>
      <c r="C100" s="3" t="s">
        <v>14</v>
      </c>
      <c r="D100" s="3" t="s">
        <v>17</v>
      </c>
      <c r="E100" s="18">
        <v>38733</v>
      </c>
      <c r="F100" s="3">
        <v>9</v>
      </c>
      <c r="G100" s="18">
        <f>SalesData!$E100*SalesData!$F100</f>
        <v>348597</v>
      </c>
    </row>
    <row r="101" spans="1:7" x14ac:dyDescent="0.35">
      <c r="A101" s="13" t="s">
        <v>114</v>
      </c>
      <c r="B101" s="14">
        <v>45050</v>
      </c>
      <c r="C101" s="2" t="s">
        <v>16</v>
      </c>
      <c r="D101" s="2" t="s">
        <v>25</v>
      </c>
      <c r="E101" s="15">
        <v>29539</v>
      </c>
      <c r="F101" s="2">
        <v>4</v>
      </c>
      <c r="G101" s="15">
        <f>SalesData!$E101*SalesData!$F101</f>
        <v>118156</v>
      </c>
    </row>
    <row r="102" spans="1:7" x14ac:dyDescent="0.35">
      <c r="A102" s="16" t="s">
        <v>115</v>
      </c>
      <c r="B102" s="17">
        <v>45242</v>
      </c>
      <c r="C102" s="3" t="s">
        <v>16</v>
      </c>
      <c r="D102" s="3" t="s">
        <v>29</v>
      </c>
      <c r="E102" s="18">
        <v>30407</v>
      </c>
      <c r="F102" s="3">
        <v>10</v>
      </c>
      <c r="G102" s="18">
        <f>SalesData!$E102*SalesData!$F102</f>
        <v>304070</v>
      </c>
    </row>
    <row r="103" spans="1:7" x14ac:dyDescent="0.35">
      <c r="A103" s="13" t="s">
        <v>116</v>
      </c>
      <c r="B103" s="14">
        <v>45109</v>
      </c>
      <c r="C103" s="2" t="s">
        <v>14</v>
      </c>
      <c r="D103" s="2" t="s">
        <v>20</v>
      </c>
      <c r="E103" s="15">
        <v>30200</v>
      </c>
      <c r="F103" s="2">
        <v>8</v>
      </c>
      <c r="G103" s="15">
        <f>SalesData!$E103*SalesData!$F103</f>
        <v>241600</v>
      </c>
    </row>
    <row r="104" spans="1:7" x14ac:dyDescent="0.35">
      <c r="A104" s="13" t="s">
        <v>117</v>
      </c>
      <c r="B104" s="14">
        <v>45099</v>
      </c>
      <c r="C104" s="2" t="s">
        <v>16</v>
      </c>
      <c r="D104" s="2" t="s">
        <v>20</v>
      </c>
      <c r="E104" s="15">
        <v>22727</v>
      </c>
      <c r="F104" s="2">
        <v>3</v>
      </c>
      <c r="G104" s="15">
        <f>SalesData!$E104*SalesData!$F104</f>
        <v>68181</v>
      </c>
    </row>
    <row r="105" spans="1:7" x14ac:dyDescent="0.35">
      <c r="A105" s="16" t="s">
        <v>118</v>
      </c>
      <c r="B105" s="17">
        <v>44980</v>
      </c>
      <c r="C105" s="3" t="s">
        <v>89</v>
      </c>
      <c r="D105" s="3" t="s">
        <v>17</v>
      </c>
      <c r="E105" s="18">
        <v>37264</v>
      </c>
      <c r="F105" s="3">
        <v>1</v>
      </c>
      <c r="G105" s="18">
        <f>SalesData!$E105*SalesData!$F105</f>
        <v>37264</v>
      </c>
    </row>
    <row r="106" spans="1:7" x14ac:dyDescent="0.35">
      <c r="A106" s="13" t="s">
        <v>119</v>
      </c>
      <c r="B106" s="14">
        <v>44927</v>
      </c>
      <c r="C106" s="2" t="s">
        <v>31</v>
      </c>
      <c r="D106" s="2" t="s">
        <v>20</v>
      </c>
      <c r="E106" s="15">
        <v>7628</v>
      </c>
      <c r="F106" s="2">
        <v>10</v>
      </c>
      <c r="G106" s="15">
        <f>SalesData!$E106*SalesData!$F106</f>
        <v>76280</v>
      </c>
    </row>
    <row r="107" spans="1:7" x14ac:dyDescent="0.35">
      <c r="A107" s="16" t="s">
        <v>120</v>
      </c>
      <c r="B107" s="17">
        <v>45191</v>
      </c>
      <c r="C107" s="3" t="s">
        <v>31</v>
      </c>
      <c r="D107" s="3" t="s">
        <v>25</v>
      </c>
      <c r="E107" s="18">
        <v>48296</v>
      </c>
      <c r="F107" s="3">
        <v>5</v>
      </c>
      <c r="G107" s="18">
        <f>SalesData!$E107*SalesData!$F107</f>
        <v>241480</v>
      </c>
    </row>
    <row r="108" spans="1:7" x14ac:dyDescent="0.35">
      <c r="A108" s="13" t="s">
        <v>121</v>
      </c>
      <c r="B108" s="14">
        <v>45015</v>
      </c>
      <c r="C108" s="2" t="s">
        <v>31</v>
      </c>
      <c r="D108" s="2" t="s">
        <v>25</v>
      </c>
      <c r="E108" s="15">
        <v>37781</v>
      </c>
      <c r="F108" s="2">
        <v>9</v>
      </c>
      <c r="G108" s="15">
        <f>SalesData!$E108*SalesData!$F108</f>
        <v>340029</v>
      </c>
    </row>
    <row r="109" spans="1:7" x14ac:dyDescent="0.35">
      <c r="A109" s="16" t="s">
        <v>122</v>
      </c>
      <c r="B109" s="17">
        <v>45047</v>
      </c>
      <c r="C109" s="3" t="s">
        <v>89</v>
      </c>
      <c r="D109" s="3" t="s">
        <v>29</v>
      </c>
      <c r="E109" s="18">
        <v>11741</v>
      </c>
      <c r="F109" s="3">
        <v>3</v>
      </c>
      <c r="G109" s="18">
        <f>SalesData!$E109*SalesData!$F109</f>
        <v>35223</v>
      </c>
    </row>
    <row r="110" spans="1:7" x14ac:dyDescent="0.35">
      <c r="A110" s="13" t="s">
        <v>123</v>
      </c>
      <c r="B110" s="14">
        <v>45176</v>
      </c>
      <c r="C110" s="2" t="s">
        <v>14</v>
      </c>
      <c r="D110" s="2" t="s">
        <v>25</v>
      </c>
      <c r="E110" s="15">
        <v>48395</v>
      </c>
      <c r="F110" s="2">
        <v>9</v>
      </c>
      <c r="G110" s="15">
        <f>SalesData!$E110*SalesData!$F110</f>
        <v>435555</v>
      </c>
    </row>
    <row r="111" spans="1:7" x14ac:dyDescent="0.35">
      <c r="A111" s="16" t="s">
        <v>124</v>
      </c>
      <c r="B111" s="17">
        <v>45131</v>
      </c>
      <c r="C111" s="3" t="s">
        <v>16</v>
      </c>
      <c r="D111" s="3" t="s">
        <v>25</v>
      </c>
      <c r="E111" s="18">
        <v>28557</v>
      </c>
      <c r="F111" s="3">
        <v>1</v>
      </c>
      <c r="G111" s="18">
        <f>SalesData!$E111*SalesData!$F111</f>
        <v>28557</v>
      </c>
    </row>
    <row r="112" spans="1:7" x14ac:dyDescent="0.35">
      <c r="A112" s="13" t="s">
        <v>125</v>
      </c>
      <c r="B112" s="14">
        <v>45050</v>
      </c>
      <c r="C112" s="2" t="s">
        <v>14</v>
      </c>
      <c r="D112" s="2" t="s">
        <v>23</v>
      </c>
      <c r="E112" s="15">
        <v>24287</v>
      </c>
      <c r="F112" s="2">
        <v>5</v>
      </c>
      <c r="G112" s="15">
        <f>SalesData!$E112*SalesData!$F112</f>
        <v>121435</v>
      </c>
    </row>
    <row r="113" spans="1:7" x14ac:dyDescent="0.35">
      <c r="A113" s="13" t="s">
        <v>126</v>
      </c>
      <c r="B113" s="14">
        <v>45275</v>
      </c>
      <c r="C113" s="2" t="s">
        <v>89</v>
      </c>
      <c r="D113" s="2" t="s">
        <v>29</v>
      </c>
      <c r="E113" s="15">
        <v>37734</v>
      </c>
      <c r="F113" s="2">
        <v>2</v>
      </c>
      <c r="G113" s="15">
        <f>SalesData!$E113*SalesData!$F113</f>
        <v>75468</v>
      </c>
    </row>
    <row r="114" spans="1:7" x14ac:dyDescent="0.35">
      <c r="A114" s="16" t="s">
        <v>127</v>
      </c>
      <c r="B114" s="17">
        <v>45106</v>
      </c>
      <c r="C114" s="3" t="s">
        <v>89</v>
      </c>
      <c r="D114" s="3" t="s">
        <v>25</v>
      </c>
      <c r="E114" s="18">
        <v>13043</v>
      </c>
      <c r="F114" s="3">
        <v>10</v>
      </c>
      <c r="G114" s="18">
        <f>SalesData!$E114*SalesData!$F114</f>
        <v>130430</v>
      </c>
    </row>
    <row r="115" spans="1:7" x14ac:dyDescent="0.35">
      <c r="A115" s="16" t="s">
        <v>128</v>
      </c>
      <c r="B115" s="17">
        <v>44930</v>
      </c>
      <c r="C115" s="3" t="s">
        <v>14</v>
      </c>
      <c r="D115" s="3" t="s">
        <v>29</v>
      </c>
      <c r="E115" s="18">
        <v>35918</v>
      </c>
      <c r="F115" s="3">
        <v>2</v>
      </c>
      <c r="G115" s="18">
        <f>SalesData!$E115*SalesData!$F115</f>
        <v>71836</v>
      </c>
    </row>
    <row r="116" spans="1:7" x14ac:dyDescent="0.35">
      <c r="A116" s="13" t="s">
        <v>129</v>
      </c>
      <c r="B116" s="14">
        <v>45032</v>
      </c>
      <c r="C116" s="2" t="s">
        <v>14</v>
      </c>
      <c r="D116" s="2" t="s">
        <v>23</v>
      </c>
      <c r="E116" s="15">
        <v>36558</v>
      </c>
      <c r="F116" s="2">
        <v>7</v>
      </c>
      <c r="G116" s="15">
        <f>SalesData!$E116*SalesData!$F116</f>
        <v>255906</v>
      </c>
    </row>
    <row r="117" spans="1:7" x14ac:dyDescent="0.35">
      <c r="A117" s="16" t="s">
        <v>130</v>
      </c>
      <c r="B117" s="17">
        <v>44970</v>
      </c>
      <c r="C117" s="3" t="s">
        <v>31</v>
      </c>
      <c r="D117" s="3" t="s">
        <v>23</v>
      </c>
      <c r="E117" s="18">
        <v>9988</v>
      </c>
      <c r="F117" s="3">
        <v>1</v>
      </c>
      <c r="G117" s="18">
        <f>SalesData!$E117*SalesData!$F117</f>
        <v>9988</v>
      </c>
    </row>
    <row r="118" spans="1:7" x14ac:dyDescent="0.35">
      <c r="A118" s="13" t="s">
        <v>131</v>
      </c>
      <c r="B118" s="14">
        <v>44972</v>
      </c>
      <c r="C118" s="2" t="s">
        <v>14</v>
      </c>
      <c r="D118" s="2" t="s">
        <v>29</v>
      </c>
      <c r="E118" s="15">
        <v>26116</v>
      </c>
      <c r="F118" s="2">
        <v>7</v>
      </c>
      <c r="G118" s="15">
        <f>SalesData!$E118*SalesData!$F118</f>
        <v>182812</v>
      </c>
    </row>
    <row r="119" spans="1:7" x14ac:dyDescent="0.35">
      <c r="A119" s="16" t="s">
        <v>132</v>
      </c>
      <c r="B119" s="17">
        <v>45085</v>
      </c>
      <c r="C119" s="3" t="s">
        <v>14</v>
      </c>
      <c r="D119" s="3" t="s">
        <v>20</v>
      </c>
      <c r="E119" s="18">
        <v>37257</v>
      </c>
      <c r="F119" s="3">
        <v>2</v>
      </c>
      <c r="G119" s="18">
        <f>SalesData!$E119*SalesData!$F119</f>
        <v>74514</v>
      </c>
    </row>
    <row r="120" spans="1:7" x14ac:dyDescent="0.35">
      <c r="A120" s="16" t="s">
        <v>133</v>
      </c>
      <c r="B120" s="17">
        <v>45101</v>
      </c>
      <c r="C120" s="3" t="s">
        <v>14</v>
      </c>
      <c r="D120" s="3" t="s">
        <v>29</v>
      </c>
      <c r="E120" s="18">
        <v>15220</v>
      </c>
      <c r="F120" s="3">
        <v>1</v>
      </c>
      <c r="G120" s="18">
        <f>SalesData!$E120*SalesData!$F120</f>
        <v>15220</v>
      </c>
    </row>
    <row r="121" spans="1:7" x14ac:dyDescent="0.35">
      <c r="A121" s="13" t="s">
        <v>134</v>
      </c>
      <c r="B121" s="14">
        <v>44940</v>
      </c>
      <c r="C121" s="2" t="s">
        <v>14</v>
      </c>
      <c r="D121" s="2" t="s">
        <v>17</v>
      </c>
      <c r="E121" s="15">
        <v>6333</v>
      </c>
      <c r="F121" s="2">
        <v>5</v>
      </c>
      <c r="G121" s="15">
        <f>SalesData!$E121*SalesData!$F121</f>
        <v>31665</v>
      </c>
    </row>
    <row r="122" spans="1:7" x14ac:dyDescent="0.35">
      <c r="A122" s="16" t="s">
        <v>135</v>
      </c>
      <c r="B122" s="17">
        <v>45020</v>
      </c>
      <c r="C122" s="3" t="s">
        <v>31</v>
      </c>
      <c r="D122" s="3" t="s">
        <v>29</v>
      </c>
      <c r="E122" s="18">
        <v>45440</v>
      </c>
      <c r="F122" s="3">
        <v>1</v>
      </c>
      <c r="G122" s="18">
        <f>SalesData!$E122*SalesData!$F122</f>
        <v>45440</v>
      </c>
    </row>
    <row r="123" spans="1:7" x14ac:dyDescent="0.35">
      <c r="A123" s="13" t="s">
        <v>136</v>
      </c>
      <c r="B123" s="14">
        <v>44938</v>
      </c>
      <c r="C123" s="2" t="s">
        <v>89</v>
      </c>
      <c r="D123" s="2" t="s">
        <v>29</v>
      </c>
      <c r="E123" s="15">
        <v>47513</v>
      </c>
      <c r="F123" s="2">
        <v>6</v>
      </c>
      <c r="G123" s="15">
        <f>SalesData!$E123*SalesData!$F123</f>
        <v>285078</v>
      </c>
    </row>
    <row r="124" spans="1:7" x14ac:dyDescent="0.35">
      <c r="A124" s="16" t="s">
        <v>137</v>
      </c>
      <c r="B124" s="17">
        <v>45021</v>
      </c>
      <c r="C124" s="3" t="s">
        <v>16</v>
      </c>
      <c r="D124" s="3" t="s">
        <v>20</v>
      </c>
      <c r="E124" s="18">
        <v>40492</v>
      </c>
      <c r="F124" s="3">
        <v>8</v>
      </c>
      <c r="G124" s="18">
        <f>SalesData!$E124*SalesData!$F124</f>
        <v>323936</v>
      </c>
    </row>
    <row r="125" spans="1:7" x14ac:dyDescent="0.35">
      <c r="A125" s="13" t="s">
        <v>138</v>
      </c>
      <c r="B125" s="14">
        <v>45066</v>
      </c>
      <c r="C125" s="2" t="s">
        <v>14</v>
      </c>
      <c r="D125" s="2" t="s">
        <v>25</v>
      </c>
      <c r="E125" s="15">
        <v>34056</v>
      </c>
      <c r="F125" s="2">
        <v>8</v>
      </c>
      <c r="G125" s="15">
        <f>SalesData!$E125*SalesData!$F125</f>
        <v>272448</v>
      </c>
    </row>
    <row r="126" spans="1:7" x14ac:dyDescent="0.35">
      <c r="A126" s="16" t="s">
        <v>139</v>
      </c>
      <c r="B126" s="17">
        <v>45175</v>
      </c>
      <c r="C126" s="3" t="s">
        <v>31</v>
      </c>
      <c r="D126" s="3" t="s">
        <v>25</v>
      </c>
      <c r="E126" s="18">
        <v>20743</v>
      </c>
      <c r="F126" s="3">
        <v>4</v>
      </c>
      <c r="G126" s="18">
        <f>SalesData!$E126*SalesData!$F126</f>
        <v>82972</v>
      </c>
    </row>
    <row r="127" spans="1:7" x14ac:dyDescent="0.35">
      <c r="A127" s="13" t="s">
        <v>140</v>
      </c>
      <c r="B127" s="14">
        <v>45135</v>
      </c>
      <c r="C127" s="2" t="s">
        <v>16</v>
      </c>
      <c r="D127" s="2" t="s">
        <v>25</v>
      </c>
      <c r="E127" s="15">
        <v>31260</v>
      </c>
      <c r="F127" s="2">
        <v>7</v>
      </c>
      <c r="G127" s="15">
        <f>SalesData!$E127*SalesData!$F127</f>
        <v>218820</v>
      </c>
    </row>
    <row r="128" spans="1:7" x14ac:dyDescent="0.35">
      <c r="A128" s="16" t="s">
        <v>141</v>
      </c>
      <c r="B128" s="17">
        <v>45273</v>
      </c>
      <c r="C128" s="3" t="s">
        <v>14</v>
      </c>
      <c r="D128" s="3" t="s">
        <v>17</v>
      </c>
      <c r="E128" s="18">
        <v>48465</v>
      </c>
      <c r="F128" s="3">
        <v>7</v>
      </c>
      <c r="G128" s="18">
        <f>SalesData!$E128*SalesData!$F128</f>
        <v>339255</v>
      </c>
    </row>
    <row r="129" spans="1:7" x14ac:dyDescent="0.35">
      <c r="A129" s="13" t="s">
        <v>142</v>
      </c>
      <c r="B129" s="14">
        <v>45020</v>
      </c>
      <c r="C129" s="2" t="s">
        <v>31</v>
      </c>
      <c r="D129" s="2" t="s">
        <v>25</v>
      </c>
      <c r="E129" s="15">
        <v>5290</v>
      </c>
      <c r="F129" s="2">
        <v>7</v>
      </c>
      <c r="G129" s="15">
        <f>SalesData!$E129*SalesData!$F129</f>
        <v>37030</v>
      </c>
    </row>
    <row r="130" spans="1:7" x14ac:dyDescent="0.35">
      <c r="A130" s="16" t="s">
        <v>143</v>
      </c>
      <c r="B130" s="17">
        <v>44986</v>
      </c>
      <c r="C130" s="3" t="s">
        <v>31</v>
      </c>
      <c r="D130" s="3" t="s">
        <v>20</v>
      </c>
      <c r="E130" s="18">
        <v>36365</v>
      </c>
      <c r="F130" s="3">
        <v>8</v>
      </c>
      <c r="G130" s="18">
        <f>SalesData!$E130*SalesData!$F130</f>
        <v>290920</v>
      </c>
    </row>
    <row r="131" spans="1:7" x14ac:dyDescent="0.35">
      <c r="A131" s="16" t="s">
        <v>144</v>
      </c>
      <c r="B131" s="17">
        <v>45264</v>
      </c>
      <c r="C131" s="3" t="s">
        <v>14</v>
      </c>
      <c r="D131" s="3" t="s">
        <v>29</v>
      </c>
      <c r="E131" s="18">
        <v>6186</v>
      </c>
      <c r="F131" s="3">
        <v>9</v>
      </c>
      <c r="G131" s="18">
        <f>SalesData!$E131*SalesData!$F131</f>
        <v>55674</v>
      </c>
    </row>
    <row r="132" spans="1:7" x14ac:dyDescent="0.35">
      <c r="A132" s="13" t="s">
        <v>145</v>
      </c>
      <c r="B132" s="14">
        <v>45098</v>
      </c>
      <c r="C132" s="2" t="s">
        <v>31</v>
      </c>
      <c r="D132" s="2" t="s">
        <v>23</v>
      </c>
      <c r="E132" s="15">
        <v>42593</v>
      </c>
      <c r="F132" s="2">
        <v>2</v>
      </c>
      <c r="G132" s="15">
        <f>SalesData!$E132*SalesData!$F132</f>
        <v>85186</v>
      </c>
    </row>
    <row r="133" spans="1:7" x14ac:dyDescent="0.35">
      <c r="A133" s="16" t="s">
        <v>146</v>
      </c>
      <c r="B133" s="17">
        <v>45175</v>
      </c>
      <c r="C133" s="3" t="s">
        <v>14</v>
      </c>
      <c r="D133" s="3" t="s">
        <v>29</v>
      </c>
      <c r="E133" s="18">
        <v>21102</v>
      </c>
      <c r="F133" s="3">
        <v>9</v>
      </c>
      <c r="G133" s="18">
        <f>SalesData!$E133*SalesData!$F133</f>
        <v>189918</v>
      </c>
    </row>
    <row r="134" spans="1:7" x14ac:dyDescent="0.35">
      <c r="A134" s="13" t="s">
        <v>147</v>
      </c>
      <c r="B134" s="14">
        <v>45061</v>
      </c>
      <c r="C134" s="2" t="s">
        <v>31</v>
      </c>
      <c r="D134" s="2" t="s">
        <v>23</v>
      </c>
      <c r="E134" s="15">
        <v>48138</v>
      </c>
      <c r="F134" s="2">
        <v>9</v>
      </c>
      <c r="G134" s="15">
        <f>SalesData!$E134*SalesData!$F134</f>
        <v>433242</v>
      </c>
    </row>
    <row r="135" spans="1:7" x14ac:dyDescent="0.35">
      <c r="A135" s="16" t="s">
        <v>147</v>
      </c>
      <c r="B135" s="17">
        <v>45061</v>
      </c>
      <c r="C135" s="3" t="s">
        <v>31</v>
      </c>
      <c r="D135" s="3" t="s">
        <v>23</v>
      </c>
      <c r="E135" s="18">
        <v>48138</v>
      </c>
      <c r="F135" s="3">
        <v>9</v>
      </c>
      <c r="G135" s="18">
        <f>SalesData!$E135*SalesData!$F135</f>
        <v>433242</v>
      </c>
    </row>
    <row r="136" spans="1:7" x14ac:dyDescent="0.35">
      <c r="A136" s="13" t="s">
        <v>148</v>
      </c>
      <c r="B136" s="14">
        <v>44927</v>
      </c>
      <c r="C136" s="2" t="s">
        <v>16</v>
      </c>
      <c r="D136" s="2" t="s">
        <v>25</v>
      </c>
      <c r="E136" s="15">
        <v>44113</v>
      </c>
      <c r="F136" s="2">
        <v>5</v>
      </c>
      <c r="G136" s="15">
        <f>SalesData!$E136*SalesData!$F136</f>
        <v>220565</v>
      </c>
    </row>
    <row r="137" spans="1:7" x14ac:dyDescent="0.35">
      <c r="A137" s="16" t="s">
        <v>149</v>
      </c>
      <c r="B137" s="17">
        <v>44986</v>
      </c>
      <c r="C137" s="3" t="s">
        <v>16</v>
      </c>
      <c r="D137" s="3" t="s">
        <v>29</v>
      </c>
      <c r="E137" s="18">
        <v>11664</v>
      </c>
      <c r="F137" s="3">
        <v>2</v>
      </c>
      <c r="G137" s="18">
        <f>SalesData!$E137*SalesData!$F137</f>
        <v>23328</v>
      </c>
    </row>
    <row r="138" spans="1:7" x14ac:dyDescent="0.35">
      <c r="A138" s="13" t="s">
        <v>150</v>
      </c>
      <c r="B138" s="14">
        <v>45209</v>
      </c>
      <c r="C138" s="2" t="s">
        <v>31</v>
      </c>
      <c r="D138" s="2" t="s">
        <v>17</v>
      </c>
      <c r="E138" s="15">
        <v>18198</v>
      </c>
      <c r="F138" s="2">
        <v>3</v>
      </c>
      <c r="G138" s="15">
        <f>SalesData!$E138*SalesData!$F138</f>
        <v>54594</v>
      </c>
    </row>
    <row r="139" spans="1:7" x14ac:dyDescent="0.35">
      <c r="A139" s="16" t="s">
        <v>151</v>
      </c>
      <c r="B139" s="17">
        <v>45177</v>
      </c>
      <c r="C139" s="3" t="s">
        <v>31</v>
      </c>
      <c r="D139" s="3" t="s">
        <v>29</v>
      </c>
      <c r="E139" s="18">
        <v>28583</v>
      </c>
      <c r="F139" s="3">
        <v>9</v>
      </c>
      <c r="G139" s="18">
        <f>SalesData!$E139*SalesData!$F139</f>
        <v>257247</v>
      </c>
    </row>
    <row r="140" spans="1:7" x14ac:dyDescent="0.35">
      <c r="A140" s="13" t="s">
        <v>152</v>
      </c>
      <c r="B140" s="14">
        <v>45125</v>
      </c>
      <c r="C140" s="2" t="s">
        <v>16</v>
      </c>
      <c r="D140" s="2" t="s">
        <v>20</v>
      </c>
      <c r="E140" s="15">
        <v>488</v>
      </c>
      <c r="F140" s="2">
        <v>10</v>
      </c>
      <c r="G140" s="15">
        <f>SalesData!$E140*SalesData!$F140</f>
        <v>4880</v>
      </c>
    </row>
    <row r="141" spans="1:7" x14ac:dyDescent="0.35">
      <c r="A141" s="16" t="s">
        <v>153</v>
      </c>
      <c r="B141" s="17">
        <v>45138</v>
      </c>
      <c r="C141" s="3" t="s">
        <v>31</v>
      </c>
      <c r="D141" s="3" t="s">
        <v>17</v>
      </c>
      <c r="E141" s="18">
        <v>21325</v>
      </c>
      <c r="F141" s="3">
        <v>7</v>
      </c>
      <c r="G141" s="18">
        <f>SalesData!$E141*SalesData!$F141</f>
        <v>149275</v>
      </c>
    </row>
    <row r="142" spans="1:7" x14ac:dyDescent="0.35">
      <c r="A142" s="13" t="s">
        <v>154</v>
      </c>
      <c r="B142" s="14">
        <v>45030</v>
      </c>
      <c r="C142" s="2" t="s">
        <v>16</v>
      </c>
      <c r="D142" s="2" t="s">
        <v>23</v>
      </c>
      <c r="E142" s="15">
        <v>34725</v>
      </c>
      <c r="F142" s="2">
        <v>1</v>
      </c>
      <c r="G142" s="15">
        <f>SalesData!$E142*SalesData!$F142</f>
        <v>34725</v>
      </c>
    </row>
    <row r="143" spans="1:7" x14ac:dyDescent="0.35">
      <c r="A143" s="16" t="s">
        <v>155</v>
      </c>
      <c r="B143" s="17">
        <v>45086</v>
      </c>
      <c r="C143" s="3" t="s">
        <v>14</v>
      </c>
      <c r="D143" s="3" t="s">
        <v>29</v>
      </c>
      <c r="E143" s="18">
        <v>21021</v>
      </c>
      <c r="F143" s="3">
        <v>1</v>
      </c>
      <c r="G143" s="18">
        <f>SalesData!$E143*SalesData!$F143</f>
        <v>21021</v>
      </c>
    </row>
    <row r="144" spans="1:7" x14ac:dyDescent="0.35">
      <c r="A144" s="16" t="s">
        <v>156</v>
      </c>
      <c r="B144" s="17">
        <v>45227</v>
      </c>
      <c r="C144" s="3" t="s">
        <v>16</v>
      </c>
      <c r="D144" s="3" t="s">
        <v>20</v>
      </c>
      <c r="E144" s="18">
        <v>3281</v>
      </c>
      <c r="F144" s="3">
        <v>3</v>
      </c>
      <c r="G144" s="18">
        <f>SalesData!$E144*SalesData!$F144</f>
        <v>9843</v>
      </c>
    </row>
    <row r="145" spans="1:7" x14ac:dyDescent="0.35">
      <c r="A145" s="16" t="s">
        <v>157</v>
      </c>
      <c r="B145" s="17">
        <v>45163</v>
      </c>
      <c r="C145" s="3" t="s">
        <v>31</v>
      </c>
      <c r="D145" s="3" t="s">
        <v>20</v>
      </c>
      <c r="E145" s="18">
        <v>21268</v>
      </c>
      <c r="F145" s="3">
        <v>8</v>
      </c>
      <c r="G145" s="18">
        <f>SalesData!$E145*SalesData!$F145</f>
        <v>170144</v>
      </c>
    </row>
    <row r="146" spans="1:7" x14ac:dyDescent="0.35">
      <c r="A146" s="13" t="s">
        <v>158</v>
      </c>
      <c r="B146" s="14">
        <v>45033</v>
      </c>
      <c r="C146" s="2" t="s">
        <v>89</v>
      </c>
      <c r="D146" s="2" t="s">
        <v>23</v>
      </c>
      <c r="E146" s="15">
        <v>39785</v>
      </c>
      <c r="F146" s="2">
        <v>4</v>
      </c>
      <c r="G146" s="15">
        <f>SalesData!$E146*SalesData!$F146</f>
        <v>159140</v>
      </c>
    </row>
    <row r="147" spans="1:7" x14ac:dyDescent="0.35">
      <c r="A147" s="16" t="s">
        <v>159</v>
      </c>
      <c r="B147" s="17">
        <v>45251</v>
      </c>
      <c r="C147" s="3" t="s">
        <v>16</v>
      </c>
      <c r="D147" s="3" t="s">
        <v>20</v>
      </c>
      <c r="E147" s="18">
        <v>22356</v>
      </c>
      <c r="F147" s="3">
        <v>4</v>
      </c>
      <c r="G147" s="18">
        <f>SalesData!$E147*SalesData!$F147</f>
        <v>89424</v>
      </c>
    </row>
    <row r="148" spans="1:7" x14ac:dyDescent="0.35">
      <c r="A148" s="16" t="s">
        <v>160</v>
      </c>
      <c r="B148" s="17">
        <v>45022</v>
      </c>
      <c r="C148" s="3" t="s">
        <v>89</v>
      </c>
      <c r="D148" s="3" t="s">
        <v>29</v>
      </c>
      <c r="E148" s="18">
        <v>29395</v>
      </c>
      <c r="F148" s="3">
        <v>8</v>
      </c>
      <c r="G148" s="18">
        <f>SalesData!$E148*SalesData!$F148</f>
        <v>235160</v>
      </c>
    </row>
    <row r="149" spans="1:7" x14ac:dyDescent="0.35">
      <c r="A149" s="13" t="s">
        <v>161</v>
      </c>
      <c r="B149" s="14">
        <v>45143</v>
      </c>
      <c r="C149" s="2" t="s">
        <v>89</v>
      </c>
      <c r="D149" s="2" t="s">
        <v>20</v>
      </c>
      <c r="E149" s="15">
        <v>46334</v>
      </c>
      <c r="F149" s="2">
        <v>8</v>
      </c>
      <c r="G149" s="15">
        <f>SalesData!$E149*SalesData!$F149</f>
        <v>370672</v>
      </c>
    </row>
    <row r="150" spans="1:7" x14ac:dyDescent="0.35">
      <c r="A150" s="16" t="s">
        <v>162</v>
      </c>
      <c r="B150" s="17">
        <v>45068</v>
      </c>
      <c r="C150" s="3" t="s">
        <v>89</v>
      </c>
      <c r="D150" s="3" t="s">
        <v>20</v>
      </c>
      <c r="E150" s="18">
        <v>18937</v>
      </c>
      <c r="F150" s="3">
        <v>9</v>
      </c>
      <c r="G150" s="18">
        <f>SalesData!$E150*SalesData!$F150</f>
        <v>170433</v>
      </c>
    </row>
    <row r="151" spans="1:7" x14ac:dyDescent="0.35">
      <c r="A151" s="13" t="s">
        <v>163</v>
      </c>
      <c r="B151" s="14">
        <v>45215</v>
      </c>
      <c r="C151" s="2" t="s">
        <v>89</v>
      </c>
      <c r="D151" s="2" t="s">
        <v>29</v>
      </c>
      <c r="E151" s="15">
        <v>9218</v>
      </c>
      <c r="F151" s="2">
        <v>5</v>
      </c>
      <c r="G151" s="15">
        <f>SalesData!$E151*SalesData!$F151</f>
        <v>46090</v>
      </c>
    </row>
    <row r="152" spans="1:7" x14ac:dyDescent="0.35">
      <c r="A152" s="16" t="s">
        <v>164</v>
      </c>
      <c r="B152" s="17">
        <v>45258</v>
      </c>
      <c r="C152" s="3" t="s">
        <v>89</v>
      </c>
      <c r="D152" s="3" t="s">
        <v>29</v>
      </c>
      <c r="E152" s="18">
        <v>17519</v>
      </c>
      <c r="F152" s="3">
        <v>6</v>
      </c>
      <c r="G152" s="18">
        <f>SalesData!$E152*SalesData!$F152</f>
        <v>105114</v>
      </c>
    </row>
    <row r="153" spans="1:7" x14ac:dyDescent="0.35">
      <c r="A153" s="16" t="s">
        <v>165</v>
      </c>
      <c r="B153" s="17">
        <v>45102</v>
      </c>
      <c r="C153" s="3" t="s">
        <v>31</v>
      </c>
      <c r="D153" s="3" t="s">
        <v>17</v>
      </c>
      <c r="E153" s="18">
        <v>9622</v>
      </c>
      <c r="F153" s="3">
        <v>2</v>
      </c>
      <c r="G153" s="18">
        <f>SalesData!$E153*SalesData!$F153</f>
        <v>19244</v>
      </c>
    </row>
    <row r="154" spans="1:7" x14ac:dyDescent="0.35">
      <c r="A154" s="13" t="s">
        <v>166</v>
      </c>
      <c r="B154" s="14">
        <v>45121</v>
      </c>
      <c r="C154" s="2" t="s">
        <v>14</v>
      </c>
      <c r="D154" s="2" t="s">
        <v>20</v>
      </c>
      <c r="E154" s="15">
        <v>7791</v>
      </c>
      <c r="F154" s="2">
        <v>6</v>
      </c>
      <c r="G154" s="15">
        <f>SalesData!$E154*SalesData!$F154</f>
        <v>46746</v>
      </c>
    </row>
    <row r="155" spans="1:7" x14ac:dyDescent="0.35">
      <c r="A155" s="16" t="s">
        <v>167</v>
      </c>
      <c r="B155" s="17">
        <v>45203</v>
      </c>
      <c r="C155" s="3" t="s">
        <v>89</v>
      </c>
      <c r="D155" s="3" t="s">
        <v>23</v>
      </c>
      <c r="E155" s="18">
        <v>9156</v>
      </c>
      <c r="F155" s="3">
        <v>5</v>
      </c>
      <c r="G155" s="18">
        <f>SalesData!$E155*SalesData!$F155</f>
        <v>45780</v>
      </c>
    </row>
    <row r="156" spans="1:7" x14ac:dyDescent="0.35">
      <c r="A156" s="16" t="s">
        <v>168</v>
      </c>
      <c r="B156" s="17">
        <v>45074</v>
      </c>
      <c r="C156" s="3" t="s">
        <v>31</v>
      </c>
      <c r="D156" s="3" t="s">
        <v>25</v>
      </c>
      <c r="E156" s="18">
        <v>4048</v>
      </c>
      <c r="F156" s="3">
        <v>3</v>
      </c>
      <c r="G156" s="18">
        <f>SalesData!$E156*SalesData!$F156</f>
        <v>12144</v>
      </c>
    </row>
    <row r="157" spans="1:7" x14ac:dyDescent="0.35">
      <c r="A157" s="13" t="s">
        <v>169</v>
      </c>
      <c r="B157" s="14">
        <v>45015</v>
      </c>
      <c r="C157" s="2" t="s">
        <v>31</v>
      </c>
      <c r="D157" s="2" t="s">
        <v>23</v>
      </c>
      <c r="E157" s="15">
        <v>11335</v>
      </c>
      <c r="F157" s="2">
        <v>9</v>
      </c>
      <c r="G157" s="15">
        <f>SalesData!$E157*SalesData!$F157</f>
        <v>102015</v>
      </c>
    </row>
    <row r="158" spans="1:7" x14ac:dyDescent="0.35">
      <c r="A158" s="16" t="s">
        <v>170</v>
      </c>
      <c r="B158" s="17">
        <v>45139</v>
      </c>
      <c r="C158" s="3" t="s">
        <v>14</v>
      </c>
      <c r="D158" s="3" t="s">
        <v>29</v>
      </c>
      <c r="E158" s="18">
        <v>22597</v>
      </c>
      <c r="F158" s="3">
        <v>4</v>
      </c>
      <c r="G158" s="18">
        <f>SalesData!$E158*SalesData!$F158</f>
        <v>90388</v>
      </c>
    </row>
    <row r="159" spans="1:7" x14ac:dyDescent="0.35">
      <c r="A159" s="13" t="s">
        <v>171</v>
      </c>
      <c r="B159" s="14">
        <v>44951</v>
      </c>
      <c r="C159" s="2" t="s">
        <v>89</v>
      </c>
      <c r="D159" s="2" t="s">
        <v>25</v>
      </c>
      <c r="E159" s="15">
        <v>22486</v>
      </c>
      <c r="F159" s="2">
        <v>1</v>
      </c>
      <c r="G159" s="15">
        <f>SalesData!$E159*SalesData!$F159</f>
        <v>22486</v>
      </c>
    </row>
    <row r="160" spans="1:7" x14ac:dyDescent="0.35">
      <c r="A160" s="16" t="s">
        <v>172</v>
      </c>
      <c r="B160" s="17">
        <v>45138</v>
      </c>
      <c r="C160" s="3" t="s">
        <v>14</v>
      </c>
      <c r="D160" s="3" t="s">
        <v>23</v>
      </c>
      <c r="E160" s="18">
        <v>34433</v>
      </c>
      <c r="F160" s="3">
        <v>4</v>
      </c>
      <c r="G160" s="18">
        <f>SalesData!$E160*SalesData!$F160</f>
        <v>137732</v>
      </c>
    </row>
    <row r="161" spans="1:7" x14ac:dyDescent="0.35">
      <c r="A161" s="13" t="s">
        <v>173</v>
      </c>
      <c r="B161" s="14">
        <v>44929</v>
      </c>
      <c r="C161" s="2" t="s">
        <v>14</v>
      </c>
      <c r="D161" s="2" t="s">
        <v>17</v>
      </c>
      <c r="E161" s="15">
        <v>17465</v>
      </c>
      <c r="F161" s="2">
        <v>9</v>
      </c>
      <c r="G161" s="15">
        <f>SalesData!$E161*SalesData!$F161</f>
        <v>157185</v>
      </c>
    </row>
    <row r="162" spans="1:7" x14ac:dyDescent="0.35">
      <c r="A162" s="16" t="s">
        <v>174</v>
      </c>
      <c r="B162" s="17">
        <v>44946</v>
      </c>
      <c r="C162" s="3" t="s">
        <v>31</v>
      </c>
      <c r="D162" s="3" t="s">
        <v>20</v>
      </c>
      <c r="E162" s="18">
        <v>29328</v>
      </c>
      <c r="F162" s="3">
        <v>8</v>
      </c>
      <c r="G162" s="18">
        <f>SalesData!$E162*SalesData!$F162</f>
        <v>234624</v>
      </c>
    </row>
    <row r="163" spans="1:7" x14ac:dyDescent="0.35">
      <c r="A163" s="13" t="s">
        <v>175</v>
      </c>
      <c r="B163" s="14">
        <v>45186</v>
      </c>
      <c r="C163" s="2" t="s">
        <v>89</v>
      </c>
      <c r="D163" s="2" t="s">
        <v>17</v>
      </c>
      <c r="E163" s="15">
        <v>21519</v>
      </c>
      <c r="F163" s="2">
        <v>6</v>
      </c>
      <c r="G163" s="15">
        <f>SalesData!$E163*SalesData!$F163</f>
        <v>129114</v>
      </c>
    </row>
    <row r="164" spans="1:7" x14ac:dyDescent="0.35">
      <c r="A164" s="13" t="s">
        <v>176</v>
      </c>
      <c r="B164" s="14">
        <v>44963</v>
      </c>
      <c r="C164" s="2" t="s">
        <v>14</v>
      </c>
      <c r="D164" s="2" t="s">
        <v>17</v>
      </c>
      <c r="E164" s="15">
        <v>34549</v>
      </c>
      <c r="F164" s="2">
        <v>10</v>
      </c>
      <c r="G164" s="15">
        <f>SalesData!$E164*SalesData!$F164</f>
        <v>345490</v>
      </c>
    </row>
    <row r="165" spans="1:7" x14ac:dyDescent="0.35">
      <c r="A165" s="16" t="s">
        <v>177</v>
      </c>
      <c r="B165" s="17">
        <v>45156</v>
      </c>
      <c r="C165" s="3" t="s">
        <v>14</v>
      </c>
      <c r="D165" s="3" t="s">
        <v>29</v>
      </c>
      <c r="E165" s="18">
        <v>45319</v>
      </c>
      <c r="F165" s="3">
        <v>8</v>
      </c>
      <c r="G165" s="18">
        <f>SalesData!$E165*SalesData!$F165</f>
        <v>362552</v>
      </c>
    </row>
    <row r="166" spans="1:7" x14ac:dyDescent="0.35">
      <c r="A166" s="13" t="s">
        <v>178</v>
      </c>
      <c r="B166" s="14">
        <v>45004</v>
      </c>
      <c r="C166" s="2" t="s">
        <v>31</v>
      </c>
      <c r="D166" s="2" t="s">
        <v>17</v>
      </c>
      <c r="E166" s="15">
        <v>18409</v>
      </c>
      <c r="F166" s="2">
        <v>3</v>
      </c>
      <c r="G166" s="15">
        <f>SalesData!$E166*SalesData!$F166</f>
        <v>55227</v>
      </c>
    </row>
    <row r="167" spans="1:7" x14ac:dyDescent="0.35">
      <c r="A167" s="16" t="s">
        <v>179</v>
      </c>
      <c r="B167" s="17">
        <v>45083</v>
      </c>
      <c r="C167" s="3" t="s">
        <v>16</v>
      </c>
      <c r="D167" s="3" t="s">
        <v>29</v>
      </c>
      <c r="E167" s="18">
        <v>8615</v>
      </c>
      <c r="F167" s="3">
        <v>6</v>
      </c>
      <c r="G167" s="18">
        <f>SalesData!$E167*SalesData!$F167</f>
        <v>51690</v>
      </c>
    </row>
    <row r="168" spans="1:7" x14ac:dyDescent="0.35">
      <c r="A168" s="13" t="s">
        <v>180</v>
      </c>
      <c r="B168" s="14">
        <v>44935</v>
      </c>
      <c r="C168" s="2" t="s">
        <v>14</v>
      </c>
      <c r="D168" s="2" t="s">
        <v>23</v>
      </c>
      <c r="E168" s="15">
        <v>28751</v>
      </c>
      <c r="F168" s="2">
        <v>5</v>
      </c>
      <c r="G168" s="15">
        <f>SalesData!$E168*SalesData!$F168</f>
        <v>143755</v>
      </c>
    </row>
    <row r="169" spans="1:7" x14ac:dyDescent="0.35">
      <c r="A169" s="16" t="s">
        <v>181</v>
      </c>
      <c r="B169" s="17">
        <v>44939</v>
      </c>
      <c r="C169" s="3" t="s">
        <v>14</v>
      </c>
      <c r="D169" s="3" t="s">
        <v>25</v>
      </c>
      <c r="E169" s="18">
        <v>49004</v>
      </c>
      <c r="F169" s="3">
        <v>6</v>
      </c>
      <c r="G169" s="18">
        <f>SalesData!$E169*SalesData!$F169</f>
        <v>294024</v>
      </c>
    </row>
    <row r="170" spans="1:7" x14ac:dyDescent="0.35">
      <c r="A170" s="13" t="s">
        <v>182</v>
      </c>
      <c r="B170" s="14">
        <v>45235</v>
      </c>
      <c r="C170" s="2" t="s">
        <v>16</v>
      </c>
      <c r="D170" s="2" t="s">
        <v>25</v>
      </c>
      <c r="E170" s="15">
        <v>15757</v>
      </c>
      <c r="F170" s="2">
        <v>8</v>
      </c>
      <c r="G170" s="15">
        <f>SalesData!$E170*SalesData!$F170</f>
        <v>126056</v>
      </c>
    </row>
    <row r="171" spans="1:7" x14ac:dyDescent="0.35">
      <c r="A171" s="16" t="s">
        <v>183</v>
      </c>
      <c r="B171" s="17">
        <v>45058</v>
      </c>
      <c r="C171" s="3" t="s">
        <v>31</v>
      </c>
      <c r="D171" s="3" t="s">
        <v>25</v>
      </c>
      <c r="E171" s="18">
        <v>2914</v>
      </c>
      <c r="F171" s="3">
        <v>1</v>
      </c>
      <c r="G171" s="18">
        <f>SalesData!$E171*SalesData!$F171</f>
        <v>2914</v>
      </c>
    </row>
    <row r="172" spans="1:7" x14ac:dyDescent="0.35">
      <c r="A172" s="16" t="s">
        <v>184</v>
      </c>
      <c r="B172" s="17">
        <v>45195</v>
      </c>
      <c r="C172" s="3" t="s">
        <v>31</v>
      </c>
      <c r="D172" s="3" t="s">
        <v>20</v>
      </c>
      <c r="E172" s="18">
        <v>36272</v>
      </c>
      <c r="F172" s="3">
        <v>4</v>
      </c>
      <c r="G172" s="18">
        <f>SalesData!$E172*SalesData!$F172</f>
        <v>145088</v>
      </c>
    </row>
    <row r="173" spans="1:7" x14ac:dyDescent="0.35">
      <c r="A173" s="13" t="s">
        <v>185</v>
      </c>
      <c r="B173" s="14">
        <v>45074</v>
      </c>
      <c r="C173" s="2" t="s">
        <v>16</v>
      </c>
      <c r="D173" s="2" t="s">
        <v>25</v>
      </c>
      <c r="E173" s="15">
        <v>26721</v>
      </c>
      <c r="F173" s="2">
        <v>1</v>
      </c>
      <c r="G173" s="15">
        <f>SalesData!$E173*SalesData!$F173</f>
        <v>26721</v>
      </c>
    </row>
    <row r="174" spans="1:7" x14ac:dyDescent="0.35">
      <c r="A174" s="16" t="s">
        <v>186</v>
      </c>
      <c r="B174" s="17">
        <v>45216</v>
      </c>
      <c r="C174" s="3" t="s">
        <v>31</v>
      </c>
      <c r="D174" s="3" t="s">
        <v>25</v>
      </c>
      <c r="E174" s="18">
        <v>17488</v>
      </c>
      <c r="F174" s="3">
        <v>1</v>
      </c>
      <c r="G174" s="18">
        <f>SalesData!$E174*SalesData!$F174</f>
        <v>17488</v>
      </c>
    </row>
    <row r="175" spans="1:7" x14ac:dyDescent="0.35">
      <c r="A175" s="13" t="s">
        <v>187</v>
      </c>
      <c r="B175" s="14">
        <v>45272</v>
      </c>
      <c r="C175" s="2" t="s">
        <v>31</v>
      </c>
      <c r="D175" s="2" t="s">
        <v>17</v>
      </c>
      <c r="E175" s="15">
        <v>17724</v>
      </c>
      <c r="F175" s="2">
        <v>9</v>
      </c>
      <c r="G175" s="15">
        <f>SalesData!$E175*SalesData!$F175</f>
        <v>159516</v>
      </c>
    </row>
    <row r="176" spans="1:7" x14ac:dyDescent="0.35">
      <c r="A176" s="16" t="s">
        <v>188</v>
      </c>
      <c r="B176" s="17">
        <v>44988</v>
      </c>
      <c r="C176" s="3" t="s">
        <v>89</v>
      </c>
      <c r="D176" s="3" t="s">
        <v>29</v>
      </c>
      <c r="E176" s="18">
        <v>45448</v>
      </c>
      <c r="F176" s="3">
        <v>10</v>
      </c>
      <c r="G176" s="18">
        <f>SalesData!$E176*SalesData!$F176</f>
        <v>454480</v>
      </c>
    </row>
    <row r="177" spans="1:7" x14ac:dyDescent="0.35">
      <c r="A177" s="13" t="s">
        <v>189</v>
      </c>
      <c r="B177" s="14">
        <v>44937</v>
      </c>
      <c r="C177" s="2" t="s">
        <v>14</v>
      </c>
      <c r="D177" s="2" t="s">
        <v>29</v>
      </c>
      <c r="E177" s="15">
        <v>16254</v>
      </c>
      <c r="F177" s="2">
        <v>6</v>
      </c>
      <c r="G177" s="15">
        <f>SalesData!$E177*SalesData!$F177</f>
        <v>97524</v>
      </c>
    </row>
    <row r="178" spans="1:7" x14ac:dyDescent="0.35">
      <c r="A178" s="16" t="s">
        <v>190</v>
      </c>
      <c r="B178" s="17">
        <v>45290</v>
      </c>
      <c r="C178" s="3" t="s">
        <v>31</v>
      </c>
      <c r="D178" s="3" t="s">
        <v>17</v>
      </c>
      <c r="E178" s="18">
        <v>31519</v>
      </c>
      <c r="F178" s="3">
        <v>9</v>
      </c>
      <c r="G178" s="18">
        <f>SalesData!$E178*SalesData!$F178</f>
        <v>283671</v>
      </c>
    </row>
    <row r="179" spans="1:7" x14ac:dyDescent="0.35">
      <c r="A179" s="13" t="s">
        <v>191</v>
      </c>
      <c r="B179" s="14">
        <v>45241</v>
      </c>
      <c r="C179" s="2" t="s">
        <v>89</v>
      </c>
      <c r="D179" s="2" t="s">
        <v>17</v>
      </c>
      <c r="E179" s="15">
        <v>12156</v>
      </c>
      <c r="F179" s="2">
        <v>5</v>
      </c>
      <c r="G179" s="15">
        <f>SalesData!$E179*SalesData!$F179</f>
        <v>60780</v>
      </c>
    </row>
    <row r="180" spans="1:7" x14ac:dyDescent="0.35">
      <c r="A180" s="16" t="s">
        <v>192</v>
      </c>
      <c r="B180" s="17">
        <v>45237</v>
      </c>
      <c r="C180" s="3" t="s">
        <v>16</v>
      </c>
      <c r="D180" s="3" t="s">
        <v>25</v>
      </c>
      <c r="E180" s="18">
        <v>30018</v>
      </c>
      <c r="F180" s="3">
        <v>7</v>
      </c>
      <c r="G180" s="18">
        <f>SalesData!$E180*SalesData!$F180</f>
        <v>210126</v>
      </c>
    </row>
    <row r="181" spans="1:7" x14ac:dyDescent="0.35">
      <c r="A181" s="13" t="s">
        <v>193</v>
      </c>
      <c r="B181" s="14">
        <v>44997</v>
      </c>
      <c r="C181" s="2" t="s">
        <v>89</v>
      </c>
      <c r="D181" s="2" t="s">
        <v>29</v>
      </c>
      <c r="E181" s="15">
        <v>26035</v>
      </c>
      <c r="F181" s="2">
        <v>10</v>
      </c>
      <c r="G181" s="15">
        <f>SalesData!$E181*SalesData!$F181</f>
        <v>260350</v>
      </c>
    </row>
    <row r="182" spans="1:7" x14ac:dyDescent="0.35">
      <c r="A182" s="16" t="s">
        <v>194</v>
      </c>
      <c r="B182" s="17">
        <v>45032</v>
      </c>
      <c r="C182" s="3" t="s">
        <v>14</v>
      </c>
      <c r="D182" s="3" t="s">
        <v>29</v>
      </c>
      <c r="E182" s="18">
        <v>2219</v>
      </c>
      <c r="F182" s="3">
        <v>7</v>
      </c>
      <c r="G182" s="18">
        <f>SalesData!$E182*SalesData!$F182</f>
        <v>15533</v>
      </c>
    </row>
    <row r="183" spans="1:7" x14ac:dyDescent="0.35">
      <c r="A183" s="13" t="s">
        <v>195</v>
      </c>
      <c r="B183" s="14">
        <v>45108</v>
      </c>
      <c r="C183" s="2" t="s">
        <v>31</v>
      </c>
      <c r="D183" s="2" t="s">
        <v>23</v>
      </c>
      <c r="E183" s="15">
        <v>20406</v>
      </c>
      <c r="F183" s="2">
        <v>5</v>
      </c>
      <c r="G183" s="15">
        <f>SalesData!$E183*SalesData!$F183</f>
        <v>102030</v>
      </c>
    </row>
    <row r="184" spans="1:7" x14ac:dyDescent="0.35">
      <c r="A184" s="16" t="s">
        <v>196</v>
      </c>
      <c r="B184" s="17">
        <v>45108</v>
      </c>
      <c r="C184" s="3" t="s">
        <v>31</v>
      </c>
      <c r="D184" s="3" t="s">
        <v>23</v>
      </c>
      <c r="E184" s="18">
        <v>43103</v>
      </c>
      <c r="F184" s="3">
        <v>7</v>
      </c>
      <c r="G184" s="18">
        <f>SalesData!$E184*SalesData!$F184</f>
        <v>301721</v>
      </c>
    </row>
    <row r="185" spans="1:7" x14ac:dyDescent="0.35">
      <c r="A185" s="13" t="s">
        <v>197</v>
      </c>
      <c r="B185" s="14">
        <v>45115</v>
      </c>
      <c r="C185" s="2" t="s">
        <v>16</v>
      </c>
      <c r="D185" s="2" t="s">
        <v>25</v>
      </c>
      <c r="E185" s="15">
        <v>9526</v>
      </c>
      <c r="F185" s="2">
        <v>3</v>
      </c>
      <c r="G185" s="15">
        <f>SalesData!$E185*SalesData!$F185</f>
        <v>28578</v>
      </c>
    </row>
    <row r="186" spans="1:7" x14ac:dyDescent="0.35">
      <c r="A186" s="16" t="s">
        <v>198</v>
      </c>
      <c r="B186" s="17">
        <v>45167</v>
      </c>
      <c r="C186" s="3" t="s">
        <v>16</v>
      </c>
      <c r="D186" s="3" t="s">
        <v>17</v>
      </c>
      <c r="E186" s="18">
        <v>30376</v>
      </c>
      <c r="F186" s="3">
        <v>9</v>
      </c>
      <c r="G186" s="18">
        <f>SalesData!$E186*SalesData!$F186</f>
        <v>273384</v>
      </c>
    </row>
    <row r="187" spans="1:7" x14ac:dyDescent="0.35">
      <c r="A187" s="13" t="s">
        <v>199</v>
      </c>
      <c r="B187" s="14">
        <v>44936</v>
      </c>
      <c r="C187" s="2" t="s">
        <v>16</v>
      </c>
      <c r="D187" s="2" t="s">
        <v>20</v>
      </c>
      <c r="E187" s="15">
        <v>43180</v>
      </c>
      <c r="F187" s="2">
        <v>7</v>
      </c>
      <c r="G187" s="15">
        <f>SalesData!$E187*SalesData!$F187</f>
        <v>302260</v>
      </c>
    </row>
    <row r="188" spans="1:7" x14ac:dyDescent="0.35">
      <c r="A188" s="16" t="s">
        <v>200</v>
      </c>
      <c r="B188" s="17">
        <v>45268</v>
      </c>
      <c r="C188" s="3" t="s">
        <v>16</v>
      </c>
      <c r="D188" s="3" t="s">
        <v>25</v>
      </c>
      <c r="E188" s="18">
        <v>35013</v>
      </c>
      <c r="F188" s="3">
        <v>5</v>
      </c>
      <c r="G188" s="18">
        <f>SalesData!$E188*SalesData!$F188</f>
        <v>175065</v>
      </c>
    </row>
    <row r="189" spans="1:7" x14ac:dyDescent="0.35">
      <c r="A189" s="13" t="s">
        <v>200</v>
      </c>
      <c r="B189" s="14">
        <v>45268</v>
      </c>
      <c r="C189" s="2" t="s">
        <v>16</v>
      </c>
      <c r="D189" s="2" t="s">
        <v>25</v>
      </c>
      <c r="E189" s="15">
        <v>35013</v>
      </c>
      <c r="F189" s="2">
        <v>5</v>
      </c>
      <c r="G189" s="15">
        <f>SalesData!$E189*SalesData!$F189</f>
        <v>175065</v>
      </c>
    </row>
    <row r="190" spans="1:7" x14ac:dyDescent="0.35">
      <c r="A190" s="13" t="s">
        <v>201</v>
      </c>
      <c r="B190" s="14">
        <v>45030</v>
      </c>
      <c r="C190" s="2" t="s">
        <v>89</v>
      </c>
      <c r="D190" s="2" t="s">
        <v>17</v>
      </c>
      <c r="E190" s="15">
        <v>47407</v>
      </c>
      <c r="F190" s="2">
        <v>7</v>
      </c>
      <c r="G190" s="15">
        <f>SalesData!$E190*SalesData!$F190</f>
        <v>331849</v>
      </c>
    </row>
    <row r="191" spans="1:7" x14ac:dyDescent="0.35">
      <c r="A191" s="16" t="s">
        <v>202</v>
      </c>
      <c r="B191" s="17">
        <v>45214</v>
      </c>
      <c r="C191" s="3" t="s">
        <v>89</v>
      </c>
      <c r="D191" s="3" t="s">
        <v>29</v>
      </c>
      <c r="E191" s="18">
        <v>49106</v>
      </c>
      <c r="F191" s="3">
        <v>10</v>
      </c>
      <c r="G191" s="18">
        <f>SalesData!$E191*SalesData!$F191</f>
        <v>491060</v>
      </c>
    </row>
    <row r="192" spans="1:7" x14ac:dyDescent="0.35">
      <c r="A192" s="13" t="s">
        <v>203</v>
      </c>
      <c r="B192" s="14">
        <v>45111</v>
      </c>
      <c r="C192" s="2" t="s">
        <v>31</v>
      </c>
      <c r="D192" s="2" t="s">
        <v>29</v>
      </c>
      <c r="E192" s="15">
        <v>44056</v>
      </c>
      <c r="F192" s="2">
        <v>6</v>
      </c>
      <c r="G192" s="15">
        <f>SalesData!$E192*SalesData!$F192</f>
        <v>264336</v>
      </c>
    </row>
    <row r="193" spans="1:7" x14ac:dyDescent="0.35">
      <c r="A193" s="16" t="s">
        <v>204</v>
      </c>
      <c r="B193" s="17">
        <v>45175</v>
      </c>
      <c r="C193" s="3" t="s">
        <v>31</v>
      </c>
      <c r="D193" s="3" t="s">
        <v>20</v>
      </c>
      <c r="E193" s="18">
        <v>37549</v>
      </c>
      <c r="F193" s="3">
        <v>8</v>
      </c>
      <c r="G193" s="18">
        <f>SalesData!$E193*SalesData!$F193</f>
        <v>300392</v>
      </c>
    </row>
    <row r="194" spans="1:7" x14ac:dyDescent="0.35">
      <c r="A194" s="13" t="s">
        <v>205</v>
      </c>
      <c r="B194" s="14">
        <v>44932</v>
      </c>
      <c r="C194" s="2" t="s">
        <v>31</v>
      </c>
      <c r="D194" s="2" t="s">
        <v>17</v>
      </c>
      <c r="E194" s="15">
        <v>18065</v>
      </c>
      <c r="F194" s="2">
        <v>7</v>
      </c>
      <c r="G194" s="15">
        <f>SalesData!$E194*SalesData!$F194</f>
        <v>126455</v>
      </c>
    </row>
    <row r="195" spans="1:7" x14ac:dyDescent="0.35">
      <c r="A195" s="16" t="s">
        <v>206</v>
      </c>
      <c r="B195" s="17">
        <v>45068</v>
      </c>
      <c r="C195" s="3" t="s">
        <v>89</v>
      </c>
      <c r="D195" s="3" t="s">
        <v>20</v>
      </c>
      <c r="E195" s="18">
        <v>10445</v>
      </c>
      <c r="F195" s="3">
        <v>7</v>
      </c>
      <c r="G195" s="18">
        <f>SalesData!$E195*SalesData!$F195</f>
        <v>73115</v>
      </c>
    </row>
    <row r="196" spans="1:7" x14ac:dyDescent="0.35">
      <c r="A196" s="13" t="s">
        <v>207</v>
      </c>
      <c r="B196" s="14">
        <v>45050</v>
      </c>
      <c r="C196" s="2" t="s">
        <v>89</v>
      </c>
      <c r="D196" s="2" t="s">
        <v>20</v>
      </c>
      <c r="E196" s="15">
        <v>47093</v>
      </c>
      <c r="F196" s="2">
        <v>4</v>
      </c>
      <c r="G196" s="15">
        <f>SalesData!$E196*SalesData!$F196</f>
        <v>188372</v>
      </c>
    </row>
    <row r="197" spans="1:7" x14ac:dyDescent="0.35">
      <c r="A197" s="16" t="s">
        <v>208</v>
      </c>
      <c r="B197" s="17">
        <v>44980</v>
      </c>
      <c r="C197" s="3" t="s">
        <v>89</v>
      </c>
      <c r="D197" s="3" t="s">
        <v>17</v>
      </c>
      <c r="E197" s="18">
        <v>30164</v>
      </c>
      <c r="F197" s="3">
        <v>4</v>
      </c>
      <c r="G197" s="18">
        <f>SalesData!$E197*SalesData!$F197</f>
        <v>120656</v>
      </c>
    </row>
    <row r="198" spans="1:7" x14ac:dyDescent="0.35">
      <c r="A198" s="13" t="s">
        <v>209</v>
      </c>
      <c r="B198" s="14">
        <v>45084</v>
      </c>
      <c r="C198" s="2" t="s">
        <v>31</v>
      </c>
      <c r="D198" s="2" t="s">
        <v>29</v>
      </c>
      <c r="E198" s="15">
        <v>36502</v>
      </c>
      <c r="F198" s="2">
        <v>5</v>
      </c>
      <c r="G198" s="15">
        <f>SalesData!$E198*SalesData!$F198</f>
        <v>182510</v>
      </c>
    </row>
    <row r="199" spans="1:7" x14ac:dyDescent="0.35">
      <c r="A199" s="16" t="s">
        <v>210</v>
      </c>
      <c r="B199" s="17">
        <v>44940</v>
      </c>
      <c r="C199" s="3" t="s">
        <v>89</v>
      </c>
      <c r="D199" s="3" t="s">
        <v>25</v>
      </c>
      <c r="E199" s="18">
        <v>11519</v>
      </c>
      <c r="F199" s="3">
        <v>8</v>
      </c>
      <c r="G199" s="18">
        <f>SalesData!$E199*SalesData!$F199</f>
        <v>92152</v>
      </c>
    </row>
    <row r="200" spans="1:7" x14ac:dyDescent="0.35">
      <c r="A200" s="13" t="s">
        <v>211</v>
      </c>
      <c r="B200" s="14">
        <v>45232</v>
      </c>
      <c r="C200" s="2" t="s">
        <v>16</v>
      </c>
      <c r="D200" s="2" t="s">
        <v>23</v>
      </c>
      <c r="E200" s="15">
        <v>17071</v>
      </c>
      <c r="F200" s="2">
        <v>9</v>
      </c>
      <c r="G200" s="15">
        <f>SalesData!$E200*SalesData!$F200</f>
        <v>153639</v>
      </c>
    </row>
    <row r="201" spans="1:7" x14ac:dyDescent="0.35">
      <c r="A201" s="16" t="s">
        <v>212</v>
      </c>
      <c r="B201" s="17">
        <v>44967</v>
      </c>
      <c r="C201" s="3" t="s">
        <v>31</v>
      </c>
      <c r="D201" s="3" t="s">
        <v>29</v>
      </c>
      <c r="E201" s="18">
        <v>20395</v>
      </c>
      <c r="F201" s="3">
        <v>3</v>
      </c>
      <c r="G201" s="18">
        <f>SalesData!$E201*SalesData!$F201</f>
        <v>61185</v>
      </c>
    </row>
    <row r="202" spans="1:7" x14ac:dyDescent="0.35">
      <c r="A202" s="13" t="s">
        <v>213</v>
      </c>
      <c r="B202" s="14">
        <v>45070</v>
      </c>
      <c r="C202" s="2" t="s">
        <v>14</v>
      </c>
      <c r="D202" s="2" t="s">
        <v>25</v>
      </c>
      <c r="E202" s="15">
        <v>23757</v>
      </c>
      <c r="F202" s="2">
        <v>7</v>
      </c>
      <c r="G202" s="15">
        <f>SalesData!$E202*SalesData!$F202</f>
        <v>166299</v>
      </c>
    </row>
    <row r="203" spans="1:7" x14ac:dyDescent="0.35">
      <c r="A203" s="16" t="s">
        <v>214</v>
      </c>
      <c r="B203" s="17">
        <v>45191</v>
      </c>
      <c r="C203" s="3" t="s">
        <v>16</v>
      </c>
      <c r="D203" s="3" t="s">
        <v>25</v>
      </c>
      <c r="E203" s="18">
        <v>37985</v>
      </c>
      <c r="F203" s="3">
        <v>5</v>
      </c>
      <c r="G203" s="18">
        <f>SalesData!$E203*SalesData!$F203</f>
        <v>189925</v>
      </c>
    </row>
    <row r="204" spans="1:7" x14ac:dyDescent="0.35">
      <c r="A204" s="16" t="s">
        <v>215</v>
      </c>
      <c r="B204" s="17">
        <v>45292</v>
      </c>
      <c r="C204" s="3" t="s">
        <v>89</v>
      </c>
      <c r="D204" s="3" t="s">
        <v>17</v>
      </c>
      <c r="E204" s="18">
        <v>929</v>
      </c>
      <c r="F204" s="3">
        <v>2</v>
      </c>
      <c r="G204" s="18">
        <f>SalesData!$E204*SalesData!$F204</f>
        <v>1858</v>
      </c>
    </row>
    <row r="205" spans="1:7" x14ac:dyDescent="0.35">
      <c r="A205" s="13" t="s">
        <v>216</v>
      </c>
      <c r="B205" s="14">
        <v>45082</v>
      </c>
      <c r="C205" s="2" t="s">
        <v>16</v>
      </c>
      <c r="D205" s="2" t="s">
        <v>20</v>
      </c>
      <c r="E205" s="15">
        <v>4018</v>
      </c>
      <c r="F205" s="2">
        <v>7</v>
      </c>
      <c r="G205" s="15">
        <f>SalesData!$E205*SalesData!$F205</f>
        <v>28126</v>
      </c>
    </row>
    <row r="206" spans="1:7" x14ac:dyDescent="0.35">
      <c r="A206" s="16" t="s">
        <v>217</v>
      </c>
      <c r="B206" s="17">
        <v>45222</v>
      </c>
      <c r="C206" s="3" t="s">
        <v>16</v>
      </c>
      <c r="D206" s="3" t="s">
        <v>23</v>
      </c>
      <c r="E206" s="18">
        <v>19506</v>
      </c>
      <c r="F206" s="3">
        <v>7</v>
      </c>
      <c r="G206" s="18">
        <f>SalesData!$E206*SalesData!$F206</f>
        <v>136542</v>
      </c>
    </row>
    <row r="207" spans="1:7" x14ac:dyDescent="0.35">
      <c r="A207" s="13" t="s">
        <v>218</v>
      </c>
      <c r="B207" s="14">
        <v>45148</v>
      </c>
      <c r="C207" s="2" t="s">
        <v>89</v>
      </c>
      <c r="D207" s="2" t="s">
        <v>23</v>
      </c>
      <c r="E207" s="15">
        <v>17090</v>
      </c>
      <c r="F207" s="2">
        <v>1</v>
      </c>
      <c r="G207" s="15">
        <f>SalesData!$E207*SalesData!$F207</f>
        <v>17090</v>
      </c>
    </row>
    <row r="208" spans="1:7" x14ac:dyDescent="0.35">
      <c r="A208" s="16" t="s">
        <v>219</v>
      </c>
      <c r="B208" s="17">
        <v>45114</v>
      </c>
      <c r="C208" s="3" t="s">
        <v>14</v>
      </c>
      <c r="D208" s="3" t="s">
        <v>17</v>
      </c>
      <c r="E208" s="18">
        <v>22721</v>
      </c>
      <c r="F208" s="3">
        <v>9</v>
      </c>
      <c r="G208" s="18">
        <f>SalesData!$E208*SalesData!$F208</f>
        <v>204489</v>
      </c>
    </row>
    <row r="209" spans="1:7" x14ac:dyDescent="0.35">
      <c r="A209" s="13" t="s">
        <v>220</v>
      </c>
      <c r="B209" s="14">
        <v>45039</v>
      </c>
      <c r="C209" s="2" t="s">
        <v>31</v>
      </c>
      <c r="D209" s="2" t="s">
        <v>29</v>
      </c>
      <c r="E209" s="15">
        <v>24066</v>
      </c>
      <c r="F209" s="2">
        <v>6</v>
      </c>
      <c r="G209" s="15">
        <f>SalesData!$E209*SalesData!$F209</f>
        <v>144396</v>
      </c>
    </row>
    <row r="210" spans="1:7" x14ac:dyDescent="0.35">
      <c r="A210" s="16" t="s">
        <v>221</v>
      </c>
      <c r="B210" s="17">
        <v>45248</v>
      </c>
      <c r="C210" s="3" t="s">
        <v>89</v>
      </c>
      <c r="D210" s="3" t="s">
        <v>29</v>
      </c>
      <c r="E210" s="18">
        <v>21854</v>
      </c>
      <c r="F210" s="3">
        <v>6</v>
      </c>
      <c r="G210" s="18">
        <f>SalesData!$E210*SalesData!$F210</f>
        <v>131124</v>
      </c>
    </row>
    <row r="211" spans="1:7" x14ac:dyDescent="0.35">
      <c r="A211" s="13" t="s">
        <v>222</v>
      </c>
      <c r="B211" s="14">
        <v>45225</v>
      </c>
      <c r="C211" s="2" t="s">
        <v>14</v>
      </c>
      <c r="D211" s="2" t="s">
        <v>25</v>
      </c>
      <c r="E211" s="15">
        <v>12552</v>
      </c>
      <c r="F211" s="2">
        <v>8</v>
      </c>
      <c r="G211" s="15">
        <f>SalesData!$E211*SalesData!$F211</f>
        <v>100416</v>
      </c>
    </row>
    <row r="212" spans="1:7" x14ac:dyDescent="0.35">
      <c r="A212" s="16" t="s">
        <v>223</v>
      </c>
      <c r="B212" s="17">
        <v>44939</v>
      </c>
      <c r="C212" s="3" t="s">
        <v>14</v>
      </c>
      <c r="D212" s="3" t="s">
        <v>17</v>
      </c>
      <c r="E212" s="18">
        <v>47164</v>
      </c>
      <c r="F212" s="3">
        <v>3</v>
      </c>
      <c r="G212" s="18">
        <f>SalesData!$E212*SalesData!$F212</f>
        <v>141492</v>
      </c>
    </row>
    <row r="213" spans="1:7" x14ac:dyDescent="0.35">
      <c r="A213" s="13" t="s">
        <v>224</v>
      </c>
      <c r="B213" s="14">
        <v>45123</v>
      </c>
      <c r="C213" s="2" t="s">
        <v>16</v>
      </c>
      <c r="D213" s="2" t="s">
        <v>20</v>
      </c>
      <c r="E213" s="15">
        <v>33857</v>
      </c>
      <c r="F213" s="2">
        <v>4</v>
      </c>
      <c r="G213" s="15">
        <f>SalesData!$E213*SalesData!$F213</f>
        <v>135428</v>
      </c>
    </row>
    <row r="214" spans="1:7" x14ac:dyDescent="0.35">
      <c r="A214" s="16" t="s">
        <v>225</v>
      </c>
      <c r="B214" s="17">
        <v>45043</v>
      </c>
      <c r="C214" s="3" t="s">
        <v>31</v>
      </c>
      <c r="D214" s="3" t="s">
        <v>29</v>
      </c>
      <c r="E214" s="18">
        <v>41732</v>
      </c>
      <c r="F214" s="3">
        <v>1</v>
      </c>
      <c r="G214" s="18">
        <f>SalesData!$E214*SalesData!$F214</f>
        <v>41732</v>
      </c>
    </row>
    <row r="215" spans="1:7" x14ac:dyDescent="0.35">
      <c r="A215" s="13" t="s">
        <v>226</v>
      </c>
      <c r="B215" s="14">
        <v>45017</v>
      </c>
      <c r="C215" s="2" t="s">
        <v>16</v>
      </c>
      <c r="D215" s="2" t="s">
        <v>20</v>
      </c>
      <c r="E215" s="15">
        <v>44043</v>
      </c>
      <c r="F215" s="2">
        <v>10</v>
      </c>
      <c r="G215" s="15">
        <f>SalesData!$E215*SalesData!$F215</f>
        <v>440430</v>
      </c>
    </row>
    <row r="216" spans="1:7" x14ac:dyDescent="0.35">
      <c r="A216" s="16" t="s">
        <v>227</v>
      </c>
      <c r="B216" s="17">
        <v>45271</v>
      </c>
      <c r="C216" s="3" t="s">
        <v>14</v>
      </c>
      <c r="D216" s="3" t="s">
        <v>29</v>
      </c>
      <c r="E216" s="18">
        <v>11641</v>
      </c>
      <c r="F216" s="3">
        <v>7</v>
      </c>
      <c r="G216" s="18">
        <f>SalesData!$E216*SalesData!$F216</f>
        <v>81487</v>
      </c>
    </row>
    <row r="217" spans="1:7" x14ac:dyDescent="0.35">
      <c r="A217" s="13" t="s">
        <v>228</v>
      </c>
      <c r="B217" s="14">
        <v>45041</v>
      </c>
      <c r="C217" s="2" t="s">
        <v>14</v>
      </c>
      <c r="D217" s="2" t="s">
        <v>23</v>
      </c>
      <c r="E217" s="15">
        <v>43481</v>
      </c>
      <c r="F217" s="2">
        <v>5</v>
      </c>
      <c r="G217" s="15">
        <f>SalesData!$E217*SalesData!$F217</f>
        <v>217405</v>
      </c>
    </row>
    <row r="218" spans="1:7" x14ac:dyDescent="0.35">
      <c r="A218" s="16" t="s">
        <v>229</v>
      </c>
      <c r="B218" s="17">
        <v>45237</v>
      </c>
      <c r="C218" s="3" t="s">
        <v>16</v>
      </c>
      <c r="D218" s="3" t="s">
        <v>17</v>
      </c>
      <c r="E218" s="18">
        <v>9173</v>
      </c>
      <c r="F218" s="3">
        <v>7</v>
      </c>
      <c r="G218" s="18">
        <f>SalesData!$E218*SalesData!$F218</f>
        <v>64211</v>
      </c>
    </row>
    <row r="219" spans="1:7" x14ac:dyDescent="0.35">
      <c r="A219" s="13" t="s">
        <v>230</v>
      </c>
      <c r="B219" s="14">
        <v>44986</v>
      </c>
      <c r="C219" s="2" t="s">
        <v>89</v>
      </c>
      <c r="D219" s="2" t="s">
        <v>17</v>
      </c>
      <c r="E219" s="15">
        <v>24939</v>
      </c>
      <c r="F219" s="2">
        <v>5</v>
      </c>
      <c r="G219" s="15">
        <f>SalesData!$E219*SalesData!$F219</f>
        <v>124695</v>
      </c>
    </row>
    <row r="220" spans="1:7" x14ac:dyDescent="0.35">
      <c r="A220" s="16" t="s">
        <v>231</v>
      </c>
      <c r="B220" s="17">
        <v>45287</v>
      </c>
      <c r="C220" s="3" t="s">
        <v>14</v>
      </c>
      <c r="D220" s="3" t="s">
        <v>25</v>
      </c>
      <c r="E220" s="18">
        <v>2101</v>
      </c>
      <c r="F220" s="3">
        <v>8</v>
      </c>
      <c r="G220" s="18">
        <f>SalesData!$E220*SalesData!$F220</f>
        <v>16808</v>
      </c>
    </row>
    <row r="221" spans="1:7" x14ac:dyDescent="0.35">
      <c r="A221" s="13" t="s">
        <v>232</v>
      </c>
      <c r="B221" s="14">
        <v>44973</v>
      </c>
      <c r="C221" s="2" t="s">
        <v>14</v>
      </c>
      <c r="D221" s="2" t="s">
        <v>23</v>
      </c>
      <c r="E221" s="15">
        <v>27461</v>
      </c>
      <c r="F221" s="2">
        <v>4</v>
      </c>
      <c r="G221" s="15">
        <f>SalesData!$E221*SalesData!$F221</f>
        <v>109844</v>
      </c>
    </row>
    <row r="222" spans="1:7" x14ac:dyDescent="0.35">
      <c r="A222" s="16" t="s">
        <v>233</v>
      </c>
      <c r="B222" s="17">
        <v>45024</v>
      </c>
      <c r="C222" s="3" t="s">
        <v>31</v>
      </c>
      <c r="D222" s="3" t="s">
        <v>25</v>
      </c>
      <c r="E222" s="18">
        <v>49619</v>
      </c>
      <c r="F222" s="3">
        <v>4</v>
      </c>
      <c r="G222" s="18">
        <f>SalesData!$E222*SalesData!$F222</f>
        <v>198476</v>
      </c>
    </row>
    <row r="223" spans="1:7" x14ac:dyDescent="0.35">
      <c r="A223" s="13" t="s">
        <v>234</v>
      </c>
      <c r="B223" s="14">
        <v>44952</v>
      </c>
      <c r="C223" s="2" t="s">
        <v>31</v>
      </c>
      <c r="D223" s="2" t="s">
        <v>29</v>
      </c>
      <c r="E223" s="15">
        <v>9820</v>
      </c>
      <c r="F223" s="2">
        <v>6</v>
      </c>
      <c r="G223" s="15">
        <f>SalesData!$E223*SalesData!$F223</f>
        <v>58920</v>
      </c>
    </row>
    <row r="224" spans="1:7" x14ac:dyDescent="0.35">
      <c r="A224" s="16" t="s">
        <v>235</v>
      </c>
      <c r="B224" s="17">
        <v>45160</v>
      </c>
      <c r="C224" s="3" t="s">
        <v>31</v>
      </c>
      <c r="D224" s="3" t="s">
        <v>20</v>
      </c>
      <c r="E224" s="18">
        <v>46514</v>
      </c>
      <c r="F224" s="3">
        <v>7</v>
      </c>
      <c r="G224" s="18">
        <f>SalesData!$E224*SalesData!$F224</f>
        <v>325598</v>
      </c>
    </row>
    <row r="225" spans="1:7" x14ac:dyDescent="0.35">
      <c r="A225" s="13" t="s">
        <v>236</v>
      </c>
      <c r="B225" s="14">
        <v>45092</v>
      </c>
      <c r="C225" s="2" t="s">
        <v>31</v>
      </c>
      <c r="D225" s="2" t="s">
        <v>29</v>
      </c>
      <c r="E225" s="15">
        <v>21798</v>
      </c>
      <c r="F225" s="2">
        <v>4</v>
      </c>
      <c r="G225" s="15">
        <f>SalesData!$E225*SalesData!$F225</f>
        <v>87192</v>
      </c>
    </row>
    <row r="226" spans="1:7" x14ac:dyDescent="0.35">
      <c r="A226" s="16" t="s">
        <v>237</v>
      </c>
      <c r="B226" s="17">
        <v>45071</v>
      </c>
      <c r="C226" s="3" t="s">
        <v>31</v>
      </c>
      <c r="D226" s="3" t="s">
        <v>20</v>
      </c>
      <c r="E226" s="18">
        <v>29828</v>
      </c>
      <c r="F226" s="3">
        <v>6</v>
      </c>
      <c r="G226" s="18">
        <f>SalesData!$E226*SalesData!$F226</f>
        <v>178968</v>
      </c>
    </row>
    <row r="227" spans="1:7" x14ac:dyDescent="0.35">
      <c r="A227" s="13" t="s">
        <v>238</v>
      </c>
      <c r="B227" s="14">
        <v>44985</v>
      </c>
      <c r="C227" s="2" t="s">
        <v>14</v>
      </c>
      <c r="D227" s="2" t="s">
        <v>29</v>
      </c>
      <c r="E227" s="15">
        <v>42652</v>
      </c>
      <c r="F227" s="2">
        <v>5</v>
      </c>
      <c r="G227" s="15">
        <f>SalesData!$E227*SalesData!$F227</f>
        <v>213260</v>
      </c>
    </row>
    <row r="228" spans="1:7" x14ac:dyDescent="0.35">
      <c r="A228" s="16" t="s">
        <v>239</v>
      </c>
      <c r="B228" s="17">
        <v>45224</v>
      </c>
      <c r="C228" s="3" t="s">
        <v>16</v>
      </c>
      <c r="D228" s="3" t="s">
        <v>17</v>
      </c>
      <c r="E228" s="18">
        <v>38611</v>
      </c>
      <c r="F228" s="3">
        <v>4</v>
      </c>
      <c r="G228" s="18">
        <f>SalesData!$E228*SalesData!$F228</f>
        <v>154444</v>
      </c>
    </row>
    <row r="229" spans="1:7" x14ac:dyDescent="0.35">
      <c r="A229" s="13" t="s">
        <v>240</v>
      </c>
      <c r="B229" s="14">
        <v>45254</v>
      </c>
      <c r="C229" s="2" t="s">
        <v>31</v>
      </c>
      <c r="D229" s="2" t="s">
        <v>29</v>
      </c>
      <c r="E229" s="15">
        <v>39099</v>
      </c>
      <c r="F229" s="2">
        <v>5</v>
      </c>
      <c r="G229" s="15">
        <f>SalesData!$E229*SalesData!$F229</f>
        <v>195495</v>
      </c>
    </row>
    <row r="230" spans="1:7" x14ac:dyDescent="0.35">
      <c r="A230" s="16" t="s">
        <v>241</v>
      </c>
      <c r="B230" s="17">
        <v>45211</v>
      </c>
      <c r="C230" s="3" t="s">
        <v>89</v>
      </c>
      <c r="D230" s="3" t="s">
        <v>25</v>
      </c>
      <c r="E230" s="18">
        <v>16357</v>
      </c>
      <c r="F230" s="3">
        <v>7</v>
      </c>
      <c r="G230" s="18">
        <f>SalesData!$E230*SalesData!$F230</f>
        <v>114499</v>
      </c>
    </row>
    <row r="231" spans="1:7" x14ac:dyDescent="0.35">
      <c r="A231" s="13" t="s">
        <v>242</v>
      </c>
      <c r="B231" s="14">
        <v>44940</v>
      </c>
      <c r="C231" s="2" t="s">
        <v>31</v>
      </c>
      <c r="D231" s="2" t="s">
        <v>17</v>
      </c>
      <c r="E231" s="15">
        <v>39446</v>
      </c>
      <c r="F231" s="2">
        <v>9</v>
      </c>
      <c r="G231" s="15">
        <f>SalesData!$E231*SalesData!$F231</f>
        <v>355014</v>
      </c>
    </row>
    <row r="232" spans="1:7" x14ac:dyDescent="0.35">
      <c r="A232" s="16" t="s">
        <v>243</v>
      </c>
      <c r="B232" s="17">
        <v>45025</v>
      </c>
      <c r="C232" s="3" t="s">
        <v>31</v>
      </c>
      <c r="D232" s="3" t="s">
        <v>29</v>
      </c>
      <c r="E232" s="18">
        <v>18249</v>
      </c>
      <c r="F232" s="3">
        <v>7</v>
      </c>
      <c r="G232" s="18">
        <f>SalesData!$E232*SalesData!$F232</f>
        <v>127743</v>
      </c>
    </row>
    <row r="233" spans="1:7" x14ac:dyDescent="0.35">
      <c r="A233" s="13" t="s">
        <v>244</v>
      </c>
      <c r="B233" s="14">
        <v>45121</v>
      </c>
      <c r="C233" s="2" t="s">
        <v>89</v>
      </c>
      <c r="D233" s="2" t="s">
        <v>23</v>
      </c>
      <c r="E233" s="15">
        <v>27436</v>
      </c>
      <c r="F233" s="2">
        <v>6</v>
      </c>
      <c r="G233" s="15">
        <f>SalesData!$E233*SalesData!$F233</f>
        <v>164616</v>
      </c>
    </row>
    <row r="234" spans="1:7" x14ac:dyDescent="0.35">
      <c r="A234" s="16" t="s">
        <v>245</v>
      </c>
      <c r="B234" s="17">
        <v>45263</v>
      </c>
      <c r="C234" s="3" t="s">
        <v>31</v>
      </c>
      <c r="D234" s="3" t="s">
        <v>17</v>
      </c>
      <c r="E234" s="18">
        <v>37058</v>
      </c>
      <c r="F234" s="3">
        <v>9</v>
      </c>
      <c r="G234" s="18">
        <f>SalesData!$E234*SalesData!$F234</f>
        <v>333522</v>
      </c>
    </row>
    <row r="235" spans="1:7" x14ac:dyDescent="0.35">
      <c r="A235" s="13" t="s">
        <v>246</v>
      </c>
      <c r="B235" s="14">
        <v>45109</v>
      </c>
      <c r="C235" s="2" t="s">
        <v>89</v>
      </c>
      <c r="D235" s="2" t="s">
        <v>20</v>
      </c>
      <c r="E235" s="15">
        <v>1480</v>
      </c>
      <c r="F235" s="2">
        <v>2</v>
      </c>
      <c r="G235" s="15">
        <f>SalesData!$E235*SalesData!$F235</f>
        <v>2960</v>
      </c>
    </row>
    <row r="236" spans="1:7" x14ac:dyDescent="0.35">
      <c r="A236" s="16" t="s">
        <v>247</v>
      </c>
      <c r="B236" s="17">
        <v>45116</v>
      </c>
      <c r="C236" s="3" t="s">
        <v>31</v>
      </c>
      <c r="D236" s="3" t="s">
        <v>25</v>
      </c>
      <c r="E236" s="18">
        <v>4609</v>
      </c>
      <c r="F236" s="3">
        <v>6</v>
      </c>
      <c r="G236" s="18">
        <f>SalesData!$E236*SalesData!$F236</f>
        <v>27654</v>
      </c>
    </row>
    <row r="237" spans="1:7" x14ac:dyDescent="0.35">
      <c r="A237" s="13" t="s">
        <v>248</v>
      </c>
      <c r="B237" s="14">
        <v>45274</v>
      </c>
      <c r="C237" s="2" t="s">
        <v>16</v>
      </c>
      <c r="D237" s="2" t="s">
        <v>25</v>
      </c>
      <c r="E237" s="15">
        <v>25536</v>
      </c>
      <c r="F237" s="2">
        <v>8</v>
      </c>
      <c r="G237" s="15">
        <f>SalesData!$E237*SalesData!$F237</f>
        <v>204288</v>
      </c>
    </row>
    <row r="238" spans="1:7" x14ac:dyDescent="0.35">
      <c r="A238" s="13" t="s">
        <v>249</v>
      </c>
      <c r="B238" s="14">
        <v>45207</v>
      </c>
      <c r="C238" s="2" t="s">
        <v>14</v>
      </c>
      <c r="D238" s="2" t="s">
        <v>29</v>
      </c>
      <c r="E238" s="15">
        <v>1163</v>
      </c>
      <c r="F238" s="2">
        <v>4</v>
      </c>
      <c r="G238" s="15">
        <f>SalesData!$E238*SalesData!$F238</f>
        <v>4652</v>
      </c>
    </row>
    <row r="239" spans="1:7" x14ac:dyDescent="0.35">
      <c r="A239" s="16" t="s">
        <v>250</v>
      </c>
      <c r="B239" s="17">
        <v>45198</v>
      </c>
      <c r="C239" s="3" t="s">
        <v>31</v>
      </c>
      <c r="D239" s="3" t="s">
        <v>29</v>
      </c>
      <c r="E239" s="18">
        <v>48746</v>
      </c>
      <c r="F239" s="3">
        <v>10</v>
      </c>
      <c r="G239" s="18">
        <f>SalesData!$E239*SalesData!$F239</f>
        <v>487460</v>
      </c>
    </row>
    <row r="240" spans="1:7" x14ac:dyDescent="0.35">
      <c r="A240" s="13" t="s">
        <v>251</v>
      </c>
      <c r="B240" s="14">
        <v>45139</v>
      </c>
      <c r="C240" s="2" t="s">
        <v>16</v>
      </c>
      <c r="D240" s="2" t="s">
        <v>20</v>
      </c>
      <c r="E240" s="15">
        <v>45431</v>
      </c>
      <c r="F240" s="2">
        <v>3</v>
      </c>
      <c r="G240" s="15">
        <f>SalesData!$E240*SalesData!$F240</f>
        <v>136293</v>
      </c>
    </row>
    <row r="241" spans="1:7" x14ac:dyDescent="0.35">
      <c r="A241" s="16" t="s">
        <v>252</v>
      </c>
      <c r="B241" s="17">
        <v>45115</v>
      </c>
      <c r="C241" s="3" t="s">
        <v>89</v>
      </c>
      <c r="D241" s="3" t="s">
        <v>17</v>
      </c>
      <c r="E241" s="18">
        <v>45193</v>
      </c>
      <c r="F241" s="3">
        <v>5</v>
      </c>
      <c r="G241" s="18">
        <f>SalesData!$E241*SalesData!$F241</f>
        <v>225965</v>
      </c>
    </row>
    <row r="242" spans="1:7" x14ac:dyDescent="0.35">
      <c r="A242" s="16" t="s">
        <v>253</v>
      </c>
      <c r="B242" s="17">
        <v>44996</v>
      </c>
      <c r="C242" s="3" t="s">
        <v>89</v>
      </c>
      <c r="D242" s="3" t="s">
        <v>20</v>
      </c>
      <c r="E242" s="18">
        <v>33525</v>
      </c>
      <c r="F242" s="3">
        <v>6</v>
      </c>
      <c r="G242" s="18">
        <f>SalesData!$E242*SalesData!$F242</f>
        <v>201150</v>
      </c>
    </row>
    <row r="243" spans="1:7" x14ac:dyDescent="0.35">
      <c r="A243" s="13" t="s">
        <v>254</v>
      </c>
      <c r="B243" s="14">
        <v>45122</v>
      </c>
      <c r="C243" s="2" t="s">
        <v>14</v>
      </c>
      <c r="D243" s="2" t="s">
        <v>17</v>
      </c>
      <c r="E243" s="15">
        <v>43606</v>
      </c>
      <c r="F243" s="2">
        <v>8</v>
      </c>
      <c r="G243" s="15">
        <f>SalesData!$E243*SalesData!$F243</f>
        <v>348848</v>
      </c>
    </row>
    <row r="244" spans="1:7" x14ac:dyDescent="0.35">
      <c r="A244" s="16" t="s">
        <v>255</v>
      </c>
      <c r="B244" s="17">
        <v>44992</v>
      </c>
      <c r="C244" s="3" t="s">
        <v>89</v>
      </c>
      <c r="D244" s="3" t="s">
        <v>23</v>
      </c>
      <c r="E244" s="18">
        <v>18370</v>
      </c>
      <c r="F244" s="3">
        <v>7</v>
      </c>
      <c r="G244" s="18">
        <f>SalesData!$E244*SalesData!$F244</f>
        <v>128590</v>
      </c>
    </row>
    <row r="245" spans="1:7" x14ac:dyDescent="0.35">
      <c r="A245" s="13" t="s">
        <v>256</v>
      </c>
      <c r="B245" s="14">
        <v>45009</v>
      </c>
      <c r="C245" s="2" t="s">
        <v>31</v>
      </c>
      <c r="D245" s="2" t="s">
        <v>17</v>
      </c>
      <c r="E245" s="15">
        <v>3600</v>
      </c>
      <c r="F245" s="2">
        <v>9</v>
      </c>
      <c r="G245" s="15">
        <f>SalesData!$E245*SalesData!$F245</f>
        <v>32400</v>
      </c>
    </row>
    <row r="246" spans="1:7" x14ac:dyDescent="0.35">
      <c r="A246" s="16" t="s">
        <v>257</v>
      </c>
      <c r="B246" s="17">
        <v>45067</v>
      </c>
      <c r="C246" s="3" t="s">
        <v>89</v>
      </c>
      <c r="D246" s="3" t="s">
        <v>29</v>
      </c>
      <c r="E246" s="18">
        <v>32717</v>
      </c>
      <c r="F246" s="3">
        <v>8</v>
      </c>
      <c r="G246" s="18">
        <f>SalesData!$E246*SalesData!$F246</f>
        <v>261736</v>
      </c>
    </row>
    <row r="247" spans="1:7" x14ac:dyDescent="0.35">
      <c r="A247" s="13" t="s">
        <v>258</v>
      </c>
      <c r="B247" s="14">
        <v>45141</v>
      </c>
      <c r="C247" s="2" t="s">
        <v>16</v>
      </c>
      <c r="D247" s="2" t="s">
        <v>17</v>
      </c>
      <c r="E247" s="15">
        <v>18575</v>
      </c>
      <c r="F247" s="2">
        <v>1</v>
      </c>
      <c r="G247" s="15">
        <f>SalesData!$E247*SalesData!$F247</f>
        <v>18575</v>
      </c>
    </row>
    <row r="248" spans="1:7" x14ac:dyDescent="0.35">
      <c r="A248" s="16" t="s">
        <v>259</v>
      </c>
      <c r="B248" s="17">
        <v>45188</v>
      </c>
      <c r="C248" s="3" t="s">
        <v>89</v>
      </c>
      <c r="D248" s="3" t="s">
        <v>29</v>
      </c>
      <c r="E248" s="18">
        <v>27864</v>
      </c>
      <c r="F248" s="3">
        <v>8</v>
      </c>
      <c r="G248" s="18">
        <f>SalesData!$E248*SalesData!$F248</f>
        <v>222912</v>
      </c>
    </row>
    <row r="249" spans="1:7" x14ac:dyDescent="0.35">
      <c r="A249" s="13" t="s">
        <v>260</v>
      </c>
      <c r="B249" s="14">
        <v>45272</v>
      </c>
      <c r="C249" s="2" t="s">
        <v>31</v>
      </c>
      <c r="D249" s="2" t="s">
        <v>17</v>
      </c>
      <c r="E249" s="15">
        <v>27403</v>
      </c>
      <c r="F249" s="2">
        <v>9</v>
      </c>
      <c r="G249" s="15">
        <f>SalesData!$E249*SalesData!$F249</f>
        <v>246627</v>
      </c>
    </row>
    <row r="250" spans="1:7" x14ac:dyDescent="0.35">
      <c r="A250" s="13" t="s">
        <v>261</v>
      </c>
      <c r="B250" s="14">
        <v>45207</v>
      </c>
      <c r="C250" s="2" t="s">
        <v>31</v>
      </c>
      <c r="D250" s="2" t="s">
        <v>23</v>
      </c>
      <c r="E250" s="15">
        <v>7569</v>
      </c>
      <c r="F250" s="2">
        <v>3</v>
      </c>
      <c r="G250" s="15">
        <f>SalesData!$E250*SalesData!$F250</f>
        <v>22707</v>
      </c>
    </row>
    <row r="251" spans="1:7" x14ac:dyDescent="0.35">
      <c r="A251" s="13" t="s">
        <v>262</v>
      </c>
      <c r="B251" s="14">
        <v>45061</v>
      </c>
      <c r="C251" s="2" t="s">
        <v>31</v>
      </c>
      <c r="D251" s="2" t="s">
        <v>20</v>
      </c>
      <c r="E251" s="15">
        <v>5171</v>
      </c>
      <c r="F251" s="2">
        <v>2</v>
      </c>
      <c r="G251" s="15">
        <f>SalesData!$E251*SalesData!$F251</f>
        <v>10342</v>
      </c>
    </row>
    <row r="252" spans="1:7" x14ac:dyDescent="0.35">
      <c r="A252" s="13" t="s">
        <v>263</v>
      </c>
      <c r="B252" s="14">
        <v>45123</v>
      </c>
      <c r="C252" s="2" t="s">
        <v>89</v>
      </c>
      <c r="D252" s="2" t="s">
        <v>17</v>
      </c>
      <c r="E252" s="15">
        <v>42320</v>
      </c>
      <c r="F252" s="2">
        <v>7</v>
      </c>
      <c r="G252" s="15">
        <f>SalesData!$E252*SalesData!$F252</f>
        <v>296240</v>
      </c>
    </row>
    <row r="253" spans="1:7" x14ac:dyDescent="0.35">
      <c r="A253" s="16" t="s">
        <v>264</v>
      </c>
      <c r="B253" s="17">
        <v>44930</v>
      </c>
      <c r="C253" s="3" t="s">
        <v>89</v>
      </c>
      <c r="D253" s="3" t="s">
        <v>29</v>
      </c>
      <c r="E253" s="18">
        <v>9077</v>
      </c>
      <c r="F253" s="3">
        <v>4</v>
      </c>
      <c r="G253" s="18">
        <f>SalesData!$E253*SalesData!$F253</f>
        <v>36308</v>
      </c>
    </row>
    <row r="254" spans="1:7" x14ac:dyDescent="0.35">
      <c r="A254" s="13" t="s">
        <v>265</v>
      </c>
      <c r="B254" s="14">
        <v>45279</v>
      </c>
      <c r="C254" s="2" t="s">
        <v>31</v>
      </c>
      <c r="D254" s="2" t="s">
        <v>23</v>
      </c>
      <c r="E254" s="15">
        <v>35912</v>
      </c>
      <c r="F254" s="2">
        <v>8</v>
      </c>
      <c r="G254" s="15">
        <f>SalesData!$E254*SalesData!$F254</f>
        <v>287296</v>
      </c>
    </row>
    <row r="255" spans="1:7" x14ac:dyDescent="0.35">
      <c r="A255" s="16" t="s">
        <v>266</v>
      </c>
      <c r="B255" s="17">
        <v>45113</v>
      </c>
      <c r="C255" s="3" t="s">
        <v>31</v>
      </c>
      <c r="D255" s="3" t="s">
        <v>25</v>
      </c>
      <c r="E255" s="18">
        <v>33568</v>
      </c>
      <c r="F255" s="3">
        <v>9</v>
      </c>
      <c r="G255" s="18">
        <f>SalesData!$E255*SalesData!$F255</f>
        <v>302112</v>
      </c>
    </row>
    <row r="256" spans="1:7" x14ac:dyDescent="0.35">
      <c r="A256" s="13" t="s">
        <v>266</v>
      </c>
      <c r="B256" s="14">
        <v>45113</v>
      </c>
      <c r="C256" s="2" t="s">
        <v>31</v>
      </c>
      <c r="D256" s="2" t="s">
        <v>25</v>
      </c>
      <c r="E256" s="15">
        <v>33568</v>
      </c>
      <c r="F256" s="2">
        <v>9</v>
      </c>
      <c r="G256" s="15">
        <f>SalesData!$E256*SalesData!$F256</f>
        <v>302112</v>
      </c>
    </row>
    <row r="257" spans="1:7" x14ac:dyDescent="0.35">
      <c r="A257" s="16" t="s">
        <v>267</v>
      </c>
      <c r="B257" s="17">
        <v>45262</v>
      </c>
      <c r="C257" s="3" t="s">
        <v>31</v>
      </c>
      <c r="D257" s="3" t="s">
        <v>17</v>
      </c>
      <c r="E257" s="18">
        <v>44158</v>
      </c>
      <c r="F257" s="3">
        <v>7</v>
      </c>
      <c r="G257" s="18">
        <f>SalesData!$E257*SalesData!$F257</f>
        <v>309106</v>
      </c>
    </row>
    <row r="258" spans="1:7" x14ac:dyDescent="0.35">
      <c r="A258" s="13" t="s">
        <v>268</v>
      </c>
      <c r="B258" s="14">
        <v>44977</v>
      </c>
      <c r="C258" s="2" t="s">
        <v>14</v>
      </c>
      <c r="D258" s="2" t="s">
        <v>17</v>
      </c>
      <c r="E258" s="15">
        <v>32467</v>
      </c>
      <c r="F258" s="2">
        <v>9</v>
      </c>
      <c r="G258" s="15">
        <f>SalesData!$E258*SalesData!$F258</f>
        <v>292203</v>
      </c>
    </row>
    <row r="259" spans="1:7" x14ac:dyDescent="0.35">
      <c r="A259" s="16" t="s">
        <v>269</v>
      </c>
      <c r="B259" s="17">
        <v>45209</v>
      </c>
      <c r="C259" s="3" t="s">
        <v>16</v>
      </c>
      <c r="D259" s="3" t="s">
        <v>20</v>
      </c>
      <c r="E259" s="18">
        <v>12418</v>
      </c>
      <c r="F259" s="3">
        <v>9</v>
      </c>
      <c r="G259" s="18">
        <f>SalesData!$E259*SalesData!$F259</f>
        <v>111762</v>
      </c>
    </row>
    <row r="260" spans="1:7" x14ac:dyDescent="0.35">
      <c r="A260" s="13" t="s">
        <v>270</v>
      </c>
      <c r="B260" s="14">
        <v>45278</v>
      </c>
      <c r="C260" s="2" t="s">
        <v>16</v>
      </c>
      <c r="D260" s="2" t="s">
        <v>20</v>
      </c>
      <c r="E260" s="15">
        <v>30563</v>
      </c>
      <c r="F260" s="2">
        <v>6</v>
      </c>
      <c r="G260" s="15">
        <f>SalesData!$E260*SalesData!$F260</f>
        <v>183378</v>
      </c>
    </row>
    <row r="261" spans="1:7" x14ac:dyDescent="0.35">
      <c r="A261" s="16" t="s">
        <v>271</v>
      </c>
      <c r="B261" s="17">
        <v>44936</v>
      </c>
      <c r="C261" s="3" t="s">
        <v>14</v>
      </c>
      <c r="D261" s="3" t="s">
        <v>29</v>
      </c>
      <c r="E261" s="18">
        <v>11764</v>
      </c>
      <c r="F261" s="3">
        <v>6</v>
      </c>
      <c r="G261" s="18">
        <f>SalesData!$E261*SalesData!$F261</f>
        <v>70584</v>
      </c>
    </row>
    <row r="262" spans="1:7" x14ac:dyDescent="0.35">
      <c r="A262" s="16" t="s">
        <v>272</v>
      </c>
      <c r="B262" s="17">
        <v>45111</v>
      </c>
      <c r="C262" s="3" t="s">
        <v>14</v>
      </c>
      <c r="D262" s="3" t="s">
        <v>20</v>
      </c>
      <c r="E262" s="18">
        <v>1225</v>
      </c>
      <c r="F262" s="3">
        <v>9</v>
      </c>
      <c r="G262" s="18">
        <f>SalesData!$E262*SalesData!$F262</f>
        <v>11025</v>
      </c>
    </row>
    <row r="263" spans="1:7" x14ac:dyDescent="0.35">
      <c r="A263" s="13" t="s">
        <v>273</v>
      </c>
      <c r="B263" s="14">
        <v>45292</v>
      </c>
      <c r="C263" s="2" t="s">
        <v>89</v>
      </c>
      <c r="D263" s="2" t="s">
        <v>29</v>
      </c>
      <c r="E263" s="15">
        <v>38136</v>
      </c>
      <c r="F263" s="2">
        <v>8</v>
      </c>
      <c r="G263" s="15">
        <f>SalesData!$E263*SalesData!$F263</f>
        <v>305088</v>
      </c>
    </row>
    <row r="264" spans="1:7" x14ac:dyDescent="0.35">
      <c r="A264" s="16" t="s">
        <v>274</v>
      </c>
      <c r="B264" s="17">
        <v>45159</v>
      </c>
      <c r="C264" s="3" t="s">
        <v>16</v>
      </c>
      <c r="D264" s="3" t="s">
        <v>23</v>
      </c>
      <c r="E264" s="18">
        <v>32299</v>
      </c>
      <c r="F264" s="3">
        <v>9</v>
      </c>
      <c r="G264" s="18">
        <f>SalesData!$E264*SalesData!$F264</f>
        <v>290691</v>
      </c>
    </row>
    <row r="265" spans="1:7" x14ac:dyDescent="0.35">
      <c r="A265" s="13" t="s">
        <v>275</v>
      </c>
      <c r="B265" s="14">
        <v>45050</v>
      </c>
      <c r="C265" s="2" t="s">
        <v>31</v>
      </c>
      <c r="D265" s="2" t="s">
        <v>17</v>
      </c>
      <c r="E265" s="15">
        <v>33397</v>
      </c>
      <c r="F265" s="2">
        <v>2</v>
      </c>
      <c r="G265" s="15">
        <f>SalesData!$E265*SalesData!$F265</f>
        <v>66794</v>
      </c>
    </row>
    <row r="266" spans="1:7" x14ac:dyDescent="0.35">
      <c r="A266" s="16" t="s">
        <v>276</v>
      </c>
      <c r="B266" s="17">
        <v>45158</v>
      </c>
      <c r="C266" s="3" t="s">
        <v>89</v>
      </c>
      <c r="D266" s="3" t="s">
        <v>29</v>
      </c>
      <c r="E266" s="18">
        <v>14771</v>
      </c>
      <c r="F266" s="3">
        <v>7</v>
      </c>
      <c r="G266" s="18">
        <f>SalesData!$E266*SalesData!$F266</f>
        <v>103397</v>
      </c>
    </row>
    <row r="267" spans="1:7" x14ac:dyDescent="0.35">
      <c r="A267" s="13" t="s">
        <v>277</v>
      </c>
      <c r="B267" s="14">
        <v>45169</v>
      </c>
      <c r="C267" s="2" t="s">
        <v>14</v>
      </c>
      <c r="D267" s="2" t="s">
        <v>20</v>
      </c>
      <c r="E267" s="15">
        <v>47509</v>
      </c>
      <c r="F267" s="2">
        <v>4</v>
      </c>
      <c r="G267" s="15">
        <f>SalesData!$E267*SalesData!$F267</f>
        <v>190036</v>
      </c>
    </row>
    <row r="268" spans="1:7" x14ac:dyDescent="0.35">
      <c r="A268" s="16" t="s">
        <v>278</v>
      </c>
      <c r="B268" s="17">
        <v>45063</v>
      </c>
      <c r="C268" s="3" t="s">
        <v>31</v>
      </c>
      <c r="D268" s="3" t="s">
        <v>29</v>
      </c>
      <c r="E268" s="18">
        <v>14692</v>
      </c>
      <c r="F268" s="3">
        <v>4</v>
      </c>
      <c r="G268" s="18">
        <f>SalesData!$E268*SalesData!$F268</f>
        <v>58768</v>
      </c>
    </row>
    <row r="269" spans="1:7" x14ac:dyDescent="0.35">
      <c r="A269" s="13" t="s">
        <v>279</v>
      </c>
      <c r="B269" s="14">
        <v>45082</v>
      </c>
      <c r="C269" s="2" t="s">
        <v>31</v>
      </c>
      <c r="D269" s="2" t="s">
        <v>23</v>
      </c>
      <c r="E269" s="15">
        <v>40992</v>
      </c>
      <c r="F269" s="2">
        <v>2</v>
      </c>
      <c r="G269" s="15">
        <f>SalesData!$E269*SalesData!$F269</f>
        <v>81984</v>
      </c>
    </row>
    <row r="270" spans="1:7" x14ac:dyDescent="0.35">
      <c r="A270" s="16" t="s">
        <v>280</v>
      </c>
      <c r="B270" s="17">
        <v>45127</v>
      </c>
      <c r="C270" s="3" t="s">
        <v>89</v>
      </c>
      <c r="D270" s="3" t="s">
        <v>17</v>
      </c>
      <c r="E270" s="18">
        <v>33421</v>
      </c>
      <c r="F270" s="3">
        <v>2</v>
      </c>
      <c r="G270" s="18">
        <f>SalesData!$E270*SalesData!$F270</f>
        <v>66842</v>
      </c>
    </row>
    <row r="271" spans="1:7" x14ac:dyDescent="0.35">
      <c r="A271" s="13" t="s">
        <v>281</v>
      </c>
      <c r="B271" s="14">
        <v>44930</v>
      </c>
      <c r="C271" s="2" t="s">
        <v>31</v>
      </c>
      <c r="D271" s="2" t="s">
        <v>17</v>
      </c>
      <c r="E271" s="15">
        <v>17852</v>
      </c>
      <c r="F271" s="2">
        <v>10</v>
      </c>
      <c r="G271" s="15">
        <f>SalesData!$E271*SalesData!$F271</f>
        <v>178520</v>
      </c>
    </row>
    <row r="272" spans="1:7" x14ac:dyDescent="0.35">
      <c r="A272" s="13" t="s">
        <v>282</v>
      </c>
      <c r="B272" s="14">
        <v>45129</v>
      </c>
      <c r="C272" s="2" t="s">
        <v>16</v>
      </c>
      <c r="D272" s="2" t="s">
        <v>17</v>
      </c>
      <c r="E272" s="15">
        <v>2641</v>
      </c>
      <c r="F272" s="2">
        <v>6</v>
      </c>
      <c r="G272" s="15">
        <f>SalesData!$E272*SalesData!$F272</f>
        <v>15846</v>
      </c>
    </row>
    <row r="273" spans="1:7" x14ac:dyDescent="0.35">
      <c r="A273" s="16" t="s">
        <v>283</v>
      </c>
      <c r="B273" s="17">
        <v>44989</v>
      </c>
      <c r="C273" s="3" t="s">
        <v>14</v>
      </c>
      <c r="D273" s="3" t="s">
        <v>20</v>
      </c>
      <c r="E273" s="18">
        <v>34034</v>
      </c>
      <c r="F273" s="3">
        <v>8</v>
      </c>
      <c r="G273" s="18">
        <f>SalesData!$E273*SalesData!$F273</f>
        <v>272272</v>
      </c>
    </row>
    <row r="274" spans="1:7" x14ac:dyDescent="0.35">
      <c r="A274" s="13" t="s">
        <v>284</v>
      </c>
      <c r="B274" s="14">
        <v>44994</v>
      </c>
      <c r="C274" s="2" t="s">
        <v>31</v>
      </c>
      <c r="D274" s="2" t="s">
        <v>20</v>
      </c>
      <c r="E274" s="15">
        <v>29826</v>
      </c>
      <c r="F274" s="2">
        <v>2</v>
      </c>
      <c r="G274" s="15">
        <f>SalesData!$E274*SalesData!$F274</f>
        <v>59652</v>
      </c>
    </row>
    <row r="275" spans="1:7" x14ac:dyDescent="0.35">
      <c r="A275" s="16" t="s">
        <v>285</v>
      </c>
      <c r="B275" s="17">
        <v>45290</v>
      </c>
      <c r="C275" s="3" t="s">
        <v>31</v>
      </c>
      <c r="D275" s="3" t="s">
        <v>23</v>
      </c>
      <c r="E275" s="18">
        <v>10671</v>
      </c>
      <c r="F275" s="3">
        <v>8</v>
      </c>
      <c r="G275" s="18">
        <f>SalesData!$E275*SalesData!$F275</f>
        <v>85368</v>
      </c>
    </row>
    <row r="276" spans="1:7" x14ac:dyDescent="0.35">
      <c r="A276" s="13" t="s">
        <v>286</v>
      </c>
      <c r="B276" s="14">
        <v>45171</v>
      </c>
      <c r="C276" s="2" t="s">
        <v>89</v>
      </c>
      <c r="D276" s="2" t="s">
        <v>29</v>
      </c>
      <c r="E276" s="15">
        <v>31987</v>
      </c>
      <c r="F276" s="2">
        <v>3</v>
      </c>
      <c r="G276" s="15">
        <f>SalesData!$E276*SalesData!$F276</f>
        <v>95961</v>
      </c>
    </row>
    <row r="277" spans="1:7" x14ac:dyDescent="0.35">
      <c r="A277" s="16" t="s">
        <v>287</v>
      </c>
      <c r="B277" s="17">
        <v>45254</v>
      </c>
      <c r="C277" s="3" t="s">
        <v>31</v>
      </c>
      <c r="D277" s="3" t="s">
        <v>23</v>
      </c>
      <c r="E277" s="18">
        <v>46439</v>
      </c>
      <c r="F277" s="3">
        <v>5</v>
      </c>
      <c r="G277" s="18">
        <f>SalesData!$E277*SalesData!$F277</f>
        <v>232195</v>
      </c>
    </row>
    <row r="278" spans="1:7" x14ac:dyDescent="0.35">
      <c r="A278" s="13" t="s">
        <v>288</v>
      </c>
      <c r="B278" s="14">
        <v>45036</v>
      </c>
      <c r="C278" s="2" t="s">
        <v>89</v>
      </c>
      <c r="D278" s="2" t="s">
        <v>17</v>
      </c>
      <c r="E278" s="15">
        <v>42268</v>
      </c>
      <c r="F278" s="2">
        <v>8</v>
      </c>
      <c r="G278" s="15">
        <f>SalesData!$E278*SalesData!$F278</f>
        <v>338144</v>
      </c>
    </row>
    <row r="279" spans="1:7" x14ac:dyDescent="0.35">
      <c r="A279" s="16" t="s">
        <v>289</v>
      </c>
      <c r="B279" s="17">
        <v>45291</v>
      </c>
      <c r="C279" s="3" t="s">
        <v>89</v>
      </c>
      <c r="D279" s="3" t="s">
        <v>25</v>
      </c>
      <c r="E279" s="18">
        <v>42608</v>
      </c>
      <c r="F279" s="3">
        <v>9</v>
      </c>
      <c r="G279" s="18">
        <f>SalesData!$E279*SalesData!$F279</f>
        <v>383472</v>
      </c>
    </row>
    <row r="280" spans="1:7" x14ac:dyDescent="0.35">
      <c r="A280" s="13" t="s">
        <v>290</v>
      </c>
      <c r="B280" s="14">
        <v>45270</v>
      </c>
      <c r="C280" s="2" t="s">
        <v>16</v>
      </c>
      <c r="D280" s="2" t="s">
        <v>25</v>
      </c>
      <c r="E280" s="15">
        <v>9549</v>
      </c>
      <c r="F280" s="2">
        <v>5</v>
      </c>
      <c r="G280" s="15">
        <f>SalesData!$E280*SalesData!$F280</f>
        <v>47745</v>
      </c>
    </row>
    <row r="281" spans="1:7" x14ac:dyDescent="0.35">
      <c r="A281" s="16" t="s">
        <v>291</v>
      </c>
      <c r="B281" s="17">
        <v>45111</v>
      </c>
      <c r="C281" s="3" t="s">
        <v>31</v>
      </c>
      <c r="D281" s="3" t="s">
        <v>25</v>
      </c>
      <c r="E281" s="18">
        <v>25697</v>
      </c>
      <c r="F281" s="3">
        <v>7</v>
      </c>
      <c r="G281" s="18">
        <f>SalesData!$E281*SalesData!$F281</f>
        <v>179879</v>
      </c>
    </row>
    <row r="282" spans="1:7" x14ac:dyDescent="0.35">
      <c r="A282" s="13" t="s">
        <v>292</v>
      </c>
      <c r="B282" s="14">
        <v>45247</v>
      </c>
      <c r="C282" s="2" t="s">
        <v>31</v>
      </c>
      <c r="D282" s="2" t="s">
        <v>25</v>
      </c>
      <c r="E282" s="15">
        <v>24304</v>
      </c>
      <c r="F282" s="2">
        <v>2</v>
      </c>
      <c r="G282" s="15">
        <f>SalesData!$E282*SalesData!$F282</f>
        <v>48608</v>
      </c>
    </row>
    <row r="283" spans="1:7" x14ac:dyDescent="0.35">
      <c r="A283" s="16" t="s">
        <v>293</v>
      </c>
      <c r="B283" s="17">
        <v>45016</v>
      </c>
      <c r="C283" s="3" t="s">
        <v>16</v>
      </c>
      <c r="D283" s="3" t="s">
        <v>29</v>
      </c>
      <c r="E283" s="18">
        <v>49881</v>
      </c>
      <c r="F283" s="3">
        <v>5</v>
      </c>
      <c r="G283" s="18">
        <f>SalesData!$E283*SalesData!$F283</f>
        <v>249405</v>
      </c>
    </row>
    <row r="284" spans="1:7" x14ac:dyDescent="0.35">
      <c r="A284" s="13" t="s">
        <v>294</v>
      </c>
      <c r="B284" s="14">
        <v>45042</v>
      </c>
      <c r="C284" s="2" t="s">
        <v>89</v>
      </c>
      <c r="D284" s="2" t="s">
        <v>23</v>
      </c>
      <c r="E284" s="15">
        <v>44280</v>
      </c>
      <c r="F284" s="2">
        <v>8</v>
      </c>
      <c r="G284" s="15">
        <f>SalesData!$E284*SalesData!$F284</f>
        <v>354240</v>
      </c>
    </row>
    <row r="285" spans="1:7" x14ac:dyDescent="0.35">
      <c r="A285" s="16" t="s">
        <v>295</v>
      </c>
      <c r="B285" s="17">
        <v>45046</v>
      </c>
      <c r="C285" s="3" t="s">
        <v>16</v>
      </c>
      <c r="D285" s="3" t="s">
        <v>25</v>
      </c>
      <c r="E285" s="18">
        <v>12772</v>
      </c>
      <c r="F285" s="3">
        <v>8</v>
      </c>
      <c r="G285" s="18">
        <f>SalesData!$E285*SalesData!$F285</f>
        <v>102176</v>
      </c>
    </row>
    <row r="286" spans="1:7" x14ac:dyDescent="0.35">
      <c r="A286" s="13" t="s">
        <v>296</v>
      </c>
      <c r="B286" s="14">
        <v>45095</v>
      </c>
      <c r="C286" s="2" t="s">
        <v>14</v>
      </c>
      <c r="D286" s="2" t="s">
        <v>17</v>
      </c>
      <c r="E286" s="15">
        <v>34282</v>
      </c>
      <c r="F286" s="2">
        <v>2</v>
      </c>
      <c r="G286" s="15">
        <f>SalesData!$E286*SalesData!$F286</f>
        <v>68564</v>
      </c>
    </row>
    <row r="287" spans="1:7" x14ac:dyDescent="0.35">
      <c r="A287" s="16" t="s">
        <v>297</v>
      </c>
      <c r="B287" s="17">
        <v>45248</v>
      </c>
      <c r="C287" s="3" t="s">
        <v>14</v>
      </c>
      <c r="D287" s="3" t="s">
        <v>23</v>
      </c>
      <c r="E287" s="18">
        <v>44824</v>
      </c>
      <c r="F287" s="3">
        <v>1</v>
      </c>
      <c r="G287" s="18">
        <f>SalesData!$E287*SalesData!$F287</f>
        <v>44824</v>
      </c>
    </row>
    <row r="288" spans="1:7" x14ac:dyDescent="0.35">
      <c r="A288" s="16" t="s">
        <v>298</v>
      </c>
      <c r="B288" s="17">
        <v>44931</v>
      </c>
      <c r="C288" s="3" t="s">
        <v>16</v>
      </c>
      <c r="D288" s="3" t="s">
        <v>29</v>
      </c>
      <c r="E288" s="18">
        <v>16322</v>
      </c>
      <c r="F288" s="3">
        <v>8</v>
      </c>
      <c r="G288" s="18">
        <f>SalesData!$E288*SalesData!$F288</f>
        <v>130576</v>
      </c>
    </row>
    <row r="289" spans="1:7" x14ac:dyDescent="0.35">
      <c r="A289" s="13" t="s">
        <v>299</v>
      </c>
      <c r="B289" s="14">
        <v>45214</v>
      </c>
      <c r="C289" s="2" t="s">
        <v>31</v>
      </c>
      <c r="D289" s="2" t="s">
        <v>20</v>
      </c>
      <c r="E289" s="15">
        <v>42091</v>
      </c>
      <c r="F289" s="2">
        <v>6</v>
      </c>
      <c r="G289" s="15">
        <f>SalesData!$E289*SalesData!$F289</f>
        <v>252546</v>
      </c>
    </row>
    <row r="290" spans="1:7" x14ac:dyDescent="0.35">
      <c r="A290" s="16" t="s">
        <v>300</v>
      </c>
      <c r="B290" s="17">
        <v>44972</v>
      </c>
      <c r="C290" s="3" t="s">
        <v>14</v>
      </c>
      <c r="D290" s="3" t="s">
        <v>23</v>
      </c>
      <c r="E290" s="18">
        <v>42980</v>
      </c>
      <c r="F290" s="3">
        <v>5</v>
      </c>
      <c r="G290" s="18">
        <f>SalesData!$E290*SalesData!$F290</f>
        <v>214900</v>
      </c>
    </row>
    <row r="291" spans="1:7" x14ac:dyDescent="0.35">
      <c r="A291" s="16" t="s">
        <v>301</v>
      </c>
      <c r="B291" s="17">
        <v>44985</v>
      </c>
      <c r="C291" s="3" t="s">
        <v>16</v>
      </c>
      <c r="D291" s="3" t="s">
        <v>29</v>
      </c>
      <c r="E291" s="18">
        <v>19403</v>
      </c>
      <c r="F291" s="3">
        <v>2</v>
      </c>
      <c r="G291" s="18">
        <f>SalesData!$E291*SalesData!$F291</f>
        <v>38806</v>
      </c>
    </row>
    <row r="292" spans="1:7" x14ac:dyDescent="0.35">
      <c r="A292" s="13" t="s">
        <v>302</v>
      </c>
      <c r="B292" s="14">
        <v>45233</v>
      </c>
      <c r="C292" s="2" t="s">
        <v>89</v>
      </c>
      <c r="D292" s="2" t="s">
        <v>20</v>
      </c>
      <c r="E292" s="15">
        <v>36110</v>
      </c>
      <c r="F292" s="2">
        <v>3</v>
      </c>
      <c r="G292" s="15">
        <f>SalesData!$E292*SalesData!$F292</f>
        <v>108330</v>
      </c>
    </row>
    <row r="293" spans="1:7" x14ac:dyDescent="0.35">
      <c r="A293" s="13" t="s">
        <v>303</v>
      </c>
      <c r="B293" s="14">
        <v>45049</v>
      </c>
      <c r="C293" s="2" t="s">
        <v>31</v>
      </c>
      <c r="D293" s="2" t="s">
        <v>17</v>
      </c>
      <c r="E293" s="15">
        <v>4207</v>
      </c>
      <c r="F293" s="2">
        <v>4</v>
      </c>
      <c r="G293" s="15">
        <f>SalesData!$E293*SalesData!$F293</f>
        <v>16828</v>
      </c>
    </row>
    <row r="294" spans="1:7" x14ac:dyDescent="0.35">
      <c r="A294" s="13" t="s">
        <v>304</v>
      </c>
      <c r="B294" s="14">
        <v>45286</v>
      </c>
      <c r="C294" s="2" t="s">
        <v>31</v>
      </c>
      <c r="D294" s="2" t="s">
        <v>17</v>
      </c>
      <c r="E294" s="15">
        <v>4484</v>
      </c>
      <c r="F294" s="2">
        <v>7</v>
      </c>
      <c r="G294" s="15">
        <f>SalesData!$E294*SalesData!$F294</f>
        <v>31388</v>
      </c>
    </row>
    <row r="295" spans="1:7" x14ac:dyDescent="0.35">
      <c r="A295" s="16" t="s">
        <v>305</v>
      </c>
      <c r="B295" s="17">
        <v>45265</v>
      </c>
      <c r="C295" s="3" t="s">
        <v>89</v>
      </c>
      <c r="D295" s="3" t="s">
        <v>23</v>
      </c>
      <c r="E295" s="18">
        <v>34834</v>
      </c>
      <c r="F295" s="3">
        <v>6</v>
      </c>
      <c r="G295" s="18">
        <f>SalesData!$E295*SalesData!$F295</f>
        <v>209004</v>
      </c>
    </row>
    <row r="296" spans="1:7" x14ac:dyDescent="0.35">
      <c r="A296" s="13" t="s">
        <v>306</v>
      </c>
      <c r="B296" s="14">
        <v>45154</v>
      </c>
      <c r="C296" s="2" t="s">
        <v>89</v>
      </c>
      <c r="D296" s="2" t="s">
        <v>25</v>
      </c>
      <c r="E296" s="15">
        <v>27059</v>
      </c>
      <c r="F296" s="2">
        <v>1</v>
      </c>
      <c r="G296" s="15">
        <f>SalesData!$E296*SalesData!$F296</f>
        <v>27059</v>
      </c>
    </row>
    <row r="297" spans="1:7" x14ac:dyDescent="0.35">
      <c r="A297" s="13" t="s">
        <v>307</v>
      </c>
      <c r="B297" s="14">
        <v>44986</v>
      </c>
      <c r="C297" s="2" t="s">
        <v>31</v>
      </c>
      <c r="D297" s="2" t="s">
        <v>25</v>
      </c>
      <c r="E297" s="15">
        <v>16227</v>
      </c>
      <c r="F297" s="2">
        <v>1</v>
      </c>
      <c r="G297" s="15">
        <f>SalesData!$E297*SalesData!$F297</f>
        <v>16227</v>
      </c>
    </row>
    <row r="298" spans="1:7" x14ac:dyDescent="0.35">
      <c r="A298" s="16" t="s">
        <v>308</v>
      </c>
      <c r="B298" s="17">
        <v>45115</v>
      </c>
      <c r="C298" s="3" t="s">
        <v>89</v>
      </c>
      <c r="D298" s="3" t="s">
        <v>17</v>
      </c>
      <c r="E298" s="18">
        <v>33717</v>
      </c>
      <c r="F298" s="3">
        <v>3</v>
      </c>
      <c r="G298" s="18">
        <f>SalesData!$E298*SalesData!$F298</f>
        <v>101151</v>
      </c>
    </row>
    <row r="299" spans="1:7" x14ac:dyDescent="0.35">
      <c r="A299" s="13" t="s">
        <v>309</v>
      </c>
      <c r="B299" s="14">
        <v>45290</v>
      </c>
      <c r="C299" s="2" t="s">
        <v>31</v>
      </c>
      <c r="D299" s="2" t="s">
        <v>25</v>
      </c>
      <c r="E299" s="15">
        <v>48424</v>
      </c>
      <c r="F299" s="2">
        <v>8</v>
      </c>
      <c r="G299" s="15">
        <f>SalesData!$E299*SalesData!$F299</f>
        <v>387392</v>
      </c>
    </row>
    <row r="300" spans="1:7" x14ac:dyDescent="0.35">
      <c r="A300" s="16" t="s">
        <v>310</v>
      </c>
      <c r="B300" s="17">
        <v>45073</v>
      </c>
      <c r="C300" s="3" t="s">
        <v>89</v>
      </c>
      <c r="D300" s="3" t="s">
        <v>23</v>
      </c>
      <c r="E300" s="18">
        <v>45072</v>
      </c>
      <c r="F300" s="3">
        <v>9</v>
      </c>
      <c r="G300" s="18">
        <f>SalesData!$E300*SalesData!$F300</f>
        <v>405648</v>
      </c>
    </row>
    <row r="301" spans="1:7" x14ac:dyDescent="0.35">
      <c r="A301" s="13" t="s">
        <v>311</v>
      </c>
      <c r="B301" s="14">
        <v>45116</v>
      </c>
      <c r="C301" s="2" t="s">
        <v>14</v>
      </c>
      <c r="D301" s="2" t="s">
        <v>23</v>
      </c>
      <c r="E301" s="15">
        <v>13055</v>
      </c>
      <c r="F301" s="2">
        <v>7</v>
      </c>
      <c r="G301" s="15">
        <f>SalesData!$E301*SalesData!$F301</f>
        <v>91385</v>
      </c>
    </row>
    <row r="302" spans="1:7" x14ac:dyDescent="0.35">
      <c r="A302" s="16" t="s">
        <v>312</v>
      </c>
      <c r="B302" s="17">
        <v>45016</v>
      </c>
      <c r="C302" s="3" t="s">
        <v>16</v>
      </c>
      <c r="D302" s="3" t="s">
        <v>20</v>
      </c>
      <c r="E302" s="18">
        <v>9516</v>
      </c>
      <c r="F302" s="3">
        <v>8</v>
      </c>
      <c r="G302" s="18">
        <f>SalesData!$E302*SalesData!$F302</f>
        <v>76128</v>
      </c>
    </row>
    <row r="303" spans="1:7" x14ac:dyDescent="0.35">
      <c r="A303" s="13" t="s">
        <v>313</v>
      </c>
      <c r="B303" s="14">
        <v>45014</v>
      </c>
      <c r="C303" s="2" t="s">
        <v>16</v>
      </c>
      <c r="D303" s="2" t="s">
        <v>25</v>
      </c>
      <c r="E303" s="15">
        <v>42974</v>
      </c>
      <c r="F303" s="2">
        <v>4</v>
      </c>
      <c r="G303" s="15">
        <f>SalesData!$E303*SalesData!$F303</f>
        <v>171896</v>
      </c>
    </row>
    <row r="304" spans="1:7" x14ac:dyDescent="0.35">
      <c r="A304" s="16" t="s">
        <v>314</v>
      </c>
      <c r="B304" s="17">
        <v>45076</v>
      </c>
      <c r="C304" s="3" t="s">
        <v>31</v>
      </c>
      <c r="D304" s="3" t="s">
        <v>17</v>
      </c>
      <c r="E304" s="18">
        <v>12441</v>
      </c>
      <c r="F304" s="3">
        <v>6</v>
      </c>
      <c r="G304" s="18">
        <f>SalesData!$E304*SalesData!$F304</f>
        <v>74646</v>
      </c>
    </row>
    <row r="305" spans="1:7" x14ac:dyDescent="0.35">
      <c r="A305" s="13" t="s">
        <v>315</v>
      </c>
      <c r="B305" s="14">
        <v>45221</v>
      </c>
      <c r="C305" s="2" t="s">
        <v>16</v>
      </c>
      <c r="D305" s="2" t="s">
        <v>20</v>
      </c>
      <c r="E305" s="15">
        <v>2213</v>
      </c>
      <c r="F305" s="2">
        <v>8</v>
      </c>
      <c r="G305" s="15">
        <f>SalesData!$E305*SalesData!$F305</f>
        <v>17704</v>
      </c>
    </row>
    <row r="306" spans="1:7" x14ac:dyDescent="0.35">
      <c r="A306" s="13" t="s">
        <v>316</v>
      </c>
      <c r="B306" s="14">
        <v>45231</v>
      </c>
      <c r="C306" s="2" t="s">
        <v>14</v>
      </c>
      <c r="D306" s="2" t="s">
        <v>25</v>
      </c>
      <c r="E306" s="15">
        <v>22853</v>
      </c>
      <c r="F306" s="2">
        <v>10</v>
      </c>
      <c r="G306" s="15">
        <f>SalesData!$E306*SalesData!$F306</f>
        <v>228530</v>
      </c>
    </row>
    <row r="307" spans="1:7" x14ac:dyDescent="0.35">
      <c r="A307" s="16" t="s">
        <v>317</v>
      </c>
      <c r="B307" s="17">
        <v>44938</v>
      </c>
      <c r="C307" s="3" t="s">
        <v>89</v>
      </c>
      <c r="D307" s="3" t="s">
        <v>17</v>
      </c>
      <c r="E307" s="18">
        <v>17384</v>
      </c>
      <c r="F307" s="3">
        <v>5</v>
      </c>
      <c r="G307" s="18">
        <f>SalesData!$E307*SalesData!$F307</f>
        <v>86920</v>
      </c>
    </row>
    <row r="308" spans="1:7" x14ac:dyDescent="0.35">
      <c r="A308" s="13" t="s">
        <v>318</v>
      </c>
      <c r="B308" s="14">
        <v>45131</v>
      </c>
      <c r="C308" s="2" t="s">
        <v>31</v>
      </c>
      <c r="D308" s="2" t="s">
        <v>25</v>
      </c>
      <c r="E308" s="15">
        <v>41940</v>
      </c>
      <c r="F308" s="2">
        <v>10</v>
      </c>
      <c r="G308" s="15">
        <f>SalesData!$E308*SalesData!$F308</f>
        <v>419400</v>
      </c>
    </row>
    <row r="309" spans="1:7" x14ac:dyDescent="0.35">
      <c r="A309" s="16" t="s">
        <v>319</v>
      </c>
      <c r="B309" s="17">
        <v>45134</v>
      </c>
      <c r="C309" s="3" t="s">
        <v>89</v>
      </c>
      <c r="D309" s="3" t="s">
        <v>29</v>
      </c>
      <c r="E309" s="18">
        <v>14145</v>
      </c>
      <c r="F309" s="3">
        <v>6</v>
      </c>
      <c r="G309" s="18">
        <f>SalesData!$E309*SalesData!$F309</f>
        <v>84870</v>
      </c>
    </row>
    <row r="310" spans="1:7" x14ac:dyDescent="0.35">
      <c r="A310" s="13" t="s">
        <v>320</v>
      </c>
      <c r="B310" s="14">
        <v>45197</v>
      </c>
      <c r="C310" s="2" t="s">
        <v>16</v>
      </c>
      <c r="D310" s="2" t="s">
        <v>25</v>
      </c>
      <c r="E310" s="15">
        <v>40160</v>
      </c>
      <c r="F310" s="2">
        <v>7</v>
      </c>
      <c r="G310" s="15">
        <f>SalesData!$E310*SalesData!$F310</f>
        <v>281120</v>
      </c>
    </row>
    <row r="311" spans="1:7" x14ac:dyDescent="0.35">
      <c r="A311" s="16" t="s">
        <v>321</v>
      </c>
      <c r="B311" s="17">
        <v>45029</v>
      </c>
      <c r="C311" s="3" t="s">
        <v>89</v>
      </c>
      <c r="D311" s="3" t="s">
        <v>17</v>
      </c>
      <c r="E311" s="18">
        <v>31748</v>
      </c>
      <c r="F311" s="3">
        <v>6</v>
      </c>
      <c r="G311" s="18">
        <f>SalesData!$E311*SalesData!$F311</f>
        <v>190488</v>
      </c>
    </row>
    <row r="312" spans="1:7" x14ac:dyDescent="0.35">
      <c r="A312" s="13" t="s">
        <v>322</v>
      </c>
      <c r="B312" s="14">
        <v>45181</v>
      </c>
      <c r="C312" s="2" t="s">
        <v>14</v>
      </c>
      <c r="D312" s="2" t="s">
        <v>17</v>
      </c>
      <c r="E312" s="15">
        <v>33061</v>
      </c>
      <c r="F312" s="2">
        <v>9</v>
      </c>
      <c r="G312" s="15">
        <f>SalesData!$E312*SalesData!$F312</f>
        <v>297549</v>
      </c>
    </row>
    <row r="313" spans="1:7" x14ac:dyDescent="0.35">
      <c r="A313" s="16" t="s">
        <v>323</v>
      </c>
      <c r="B313" s="17">
        <v>45112</v>
      </c>
      <c r="C313" s="3" t="s">
        <v>16</v>
      </c>
      <c r="D313" s="3" t="s">
        <v>17</v>
      </c>
      <c r="E313" s="18">
        <v>10940</v>
      </c>
      <c r="F313" s="3">
        <v>4</v>
      </c>
      <c r="G313" s="18">
        <f>SalesData!$E313*SalesData!$F313</f>
        <v>43760</v>
      </c>
    </row>
    <row r="314" spans="1:7" x14ac:dyDescent="0.35">
      <c r="A314" s="16" t="s">
        <v>324</v>
      </c>
      <c r="B314" s="17">
        <v>45023</v>
      </c>
      <c r="C314" s="3" t="s">
        <v>16</v>
      </c>
      <c r="D314" s="3" t="s">
        <v>23</v>
      </c>
      <c r="E314" s="18">
        <v>13349</v>
      </c>
      <c r="F314" s="3">
        <v>2</v>
      </c>
      <c r="G314" s="18">
        <f>SalesData!$E314*SalesData!$F314</f>
        <v>26698</v>
      </c>
    </row>
    <row r="315" spans="1:7" x14ac:dyDescent="0.35">
      <c r="A315" s="13" t="s">
        <v>325</v>
      </c>
      <c r="B315" s="14">
        <v>44971</v>
      </c>
      <c r="C315" s="2" t="s">
        <v>31</v>
      </c>
      <c r="D315" s="2" t="s">
        <v>20</v>
      </c>
      <c r="E315" s="15">
        <v>3543</v>
      </c>
      <c r="F315" s="2">
        <v>5</v>
      </c>
      <c r="G315" s="15">
        <f>SalesData!$E315*SalesData!$F315</f>
        <v>17715</v>
      </c>
    </row>
    <row r="316" spans="1:7" x14ac:dyDescent="0.35">
      <c r="A316" s="16" t="s">
        <v>326</v>
      </c>
      <c r="B316" s="17">
        <v>45131</v>
      </c>
      <c r="C316" s="3" t="s">
        <v>14</v>
      </c>
      <c r="D316" s="3" t="s">
        <v>17</v>
      </c>
      <c r="E316" s="18">
        <v>21432</v>
      </c>
      <c r="F316" s="3">
        <v>5</v>
      </c>
      <c r="G316" s="18">
        <f>SalesData!$E316*SalesData!$F316</f>
        <v>107160</v>
      </c>
    </row>
    <row r="317" spans="1:7" x14ac:dyDescent="0.35">
      <c r="A317" s="13" t="s">
        <v>327</v>
      </c>
      <c r="B317" s="14">
        <v>45044</v>
      </c>
      <c r="C317" s="2" t="s">
        <v>16</v>
      </c>
      <c r="D317" s="2" t="s">
        <v>17</v>
      </c>
      <c r="E317" s="15">
        <v>27652</v>
      </c>
      <c r="F317" s="2">
        <v>4</v>
      </c>
      <c r="G317" s="15">
        <f>SalesData!$E317*SalesData!$F317</f>
        <v>110608</v>
      </c>
    </row>
    <row r="318" spans="1:7" x14ac:dyDescent="0.35">
      <c r="A318" s="16" t="s">
        <v>328</v>
      </c>
      <c r="B318" s="17">
        <v>45272</v>
      </c>
      <c r="C318" s="3" t="s">
        <v>16</v>
      </c>
      <c r="D318" s="3" t="s">
        <v>20</v>
      </c>
      <c r="E318" s="18">
        <v>12848</v>
      </c>
      <c r="F318" s="3">
        <v>10</v>
      </c>
      <c r="G318" s="18">
        <f>SalesData!$E318*SalesData!$F318</f>
        <v>128480</v>
      </c>
    </row>
    <row r="319" spans="1:7" x14ac:dyDescent="0.35">
      <c r="A319" s="13" t="s">
        <v>329</v>
      </c>
      <c r="B319" s="14">
        <v>45277</v>
      </c>
      <c r="C319" s="2" t="s">
        <v>16</v>
      </c>
      <c r="D319" s="2" t="s">
        <v>17</v>
      </c>
      <c r="E319" s="15">
        <v>29841</v>
      </c>
      <c r="F319" s="2">
        <v>2</v>
      </c>
      <c r="G319" s="15">
        <f>SalesData!$E319*SalesData!$F319</f>
        <v>59682</v>
      </c>
    </row>
    <row r="320" spans="1:7" x14ac:dyDescent="0.35">
      <c r="A320" s="16" t="s">
        <v>330</v>
      </c>
      <c r="B320" s="17">
        <v>45172</v>
      </c>
      <c r="C320" s="3" t="s">
        <v>89</v>
      </c>
      <c r="D320" s="3" t="s">
        <v>20</v>
      </c>
      <c r="E320" s="18">
        <v>36672</v>
      </c>
      <c r="F320" s="3">
        <v>5</v>
      </c>
      <c r="G320" s="18">
        <f>SalesData!$E320*SalesData!$F320</f>
        <v>183360</v>
      </c>
    </row>
    <row r="321" spans="1:7" x14ac:dyDescent="0.35">
      <c r="A321" s="13" t="s">
        <v>331</v>
      </c>
      <c r="B321" s="14">
        <v>45205</v>
      </c>
      <c r="C321" s="2" t="s">
        <v>16</v>
      </c>
      <c r="D321" s="2" t="s">
        <v>17</v>
      </c>
      <c r="E321" s="15">
        <v>4274</v>
      </c>
      <c r="F321" s="2">
        <v>1</v>
      </c>
      <c r="G321" s="15">
        <f>SalesData!$E321*SalesData!$F321</f>
        <v>4274</v>
      </c>
    </row>
    <row r="322" spans="1:7" x14ac:dyDescent="0.35">
      <c r="A322" s="16" t="s">
        <v>332</v>
      </c>
      <c r="B322" s="17">
        <v>44951</v>
      </c>
      <c r="C322" s="3" t="s">
        <v>89</v>
      </c>
      <c r="D322" s="3" t="s">
        <v>23</v>
      </c>
      <c r="E322" s="18">
        <v>48700</v>
      </c>
      <c r="F322" s="3">
        <v>10</v>
      </c>
      <c r="G322" s="18">
        <f>SalesData!$E322*SalesData!$F322</f>
        <v>487000</v>
      </c>
    </row>
    <row r="323" spans="1:7" x14ac:dyDescent="0.35">
      <c r="A323" s="13" t="s">
        <v>333</v>
      </c>
      <c r="B323" s="14">
        <v>45231</v>
      </c>
      <c r="C323" s="2" t="s">
        <v>14</v>
      </c>
      <c r="D323" s="2" t="s">
        <v>23</v>
      </c>
      <c r="E323" s="15">
        <v>24772</v>
      </c>
      <c r="F323" s="2">
        <v>8</v>
      </c>
      <c r="G323" s="15">
        <f>SalesData!$E323*SalesData!$F323</f>
        <v>198176</v>
      </c>
    </row>
    <row r="324" spans="1:7" x14ac:dyDescent="0.35">
      <c r="A324" s="16" t="s">
        <v>334</v>
      </c>
      <c r="B324" s="17">
        <v>44991</v>
      </c>
      <c r="C324" s="3" t="s">
        <v>14</v>
      </c>
      <c r="D324" s="3" t="s">
        <v>25</v>
      </c>
      <c r="E324" s="18">
        <v>12348</v>
      </c>
      <c r="F324" s="3">
        <v>10</v>
      </c>
      <c r="G324" s="18">
        <f>SalesData!$E324*SalesData!$F324</f>
        <v>123480</v>
      </c>
    </row>
    <row r="325" spans="1:7" x14ac:dyDescent="0.35">
      <c r="A325" s="13" t="s">
        <v>335</v>
      </c>
      <c r="B325" s="14">
        <v>45043</v>
      </c>
      <c r="C325" s="2" t="s">
        <v>31</v>
      </c>
      <c r="D325" s="2" t="s">
        <v>29</v>
      </c>
      <c r="E325" s="15">
        <v>27381</v>
      </c>
      <c r="F325" s="2">
        <v>5</v>
      </c>
      <c r="G325" s="15">
        <f>SalesData!$E325*SalesData!$F325</f>
        <v>136905</v>
      </c>
    </row>
    <row r="326" spans="1:7" x14ac:dyDescent="0.35">
      <c r="A326" s="16" t="s">
        <v>336</v>
      </c>
      <c r="B326" s="17">
        <v>45228</v>
      </c>
      <c r="C326" s="3" t="s">
        <v>16</v>
      </c>
      <c r="D326" s="3" t="s">
        <v>25</v>
      </c>
      <c r="E326" s="18">
        <v>39082</v>
      </c>
      <c r="F326" s="3">
        <v>2</v>
      </c>
      <c r="G326" s="18">
        <f>SalesData!$E326*SalesData!$F326</f>
        <v>78164</v>
      </c>
    </row>
    <row r="327" spans="1:7" x14ac:dyDescent="0.35">
      <c r="A327" s="13" t="s">
        <v>337</v>
      </c>
      <c r="B327" s="14">
        <v>45256</v>
      </c>
      <c r="C327" s="2" t="s">
        <v>16</v>
      </c>
      <c r="D327" s="2" t="s">
        <v>25</v>
      </c>
      <c r="E327" s="15">
        <v>12413</v>
      </c>
      <c r="F327" s="2">
        <v>8</v>
      </c>
      <c r="G327" s="15">
        <f>SalesData!$E327*SalesData!$F327</f>
        <v>99304</v>
      </c>
    </row>
    <row r="328" spans="1:7" x14ac:dyDescent="0.35">
      <c r="A328" s="16" t="s">
        <v>338</v>
      </c>
      <c r="B328" s="17">
        <v>45232</v>
      </c>
      <c r="C328" s="3" t="s">
        <v>16</v>
      </c>
      <c r="D328" s="3" t="s">
        <v>20</v>
      </c>
      <c r="E328" s="18">
        <v>7954</v>
      </c>
      <c r="F328" s="3">
        <v>3</v>
      </c>
      <c r="G328" s="18">
        <f>SalesData!$E328*SalesData!$F328</f>
        <v>23862</v>
      </c>
    </row>
    <row r="329" spans="1:7" x14ac:dyDescent="0.35">
      <c r="A329" s="13" t="s">
        <v>339</v>
      </c>
      <c r="B329" s="14">
        <v>45047</v>
      </c>
      <c r="C329" s="2" t="s">
        <v>89</v>
      </c>
      <c r="D329" s="2" t="s">
        <v>23</v>
      </c>
      <c r="E329" s="15">
        <v>6475</v>
      </c>
      <c r="F329" s="2">
        <v>3</v>
      </c>
      <c r="G329" s="15">
        <f>SalesData!$E329*SalesData!$F329</f>
        <v>19425</v>
      </c>
    </row>
    <row r="330" spans="1:7" x14ac:dyDescent="0.35">
      <c r="A330" s="16" t="s">
        <v>340</v>
      </c>
      <c r="B330" s="17">
        <v>44957</v>
      </c>
      <c r="C330" s="3" t="s">
        <v>14</v>
      </c>
      <c r="D330" s="3" t="s">
        <v>17</v>
      </c>
      <c r="E330" s="18">
        <v>28034</v>
      </c>
      <c r="F330" s="3">
        <v>7</v>
      </c>
      <c r="G330" s="18">
        <f>SalesData!$E330*SalesData!$F330</f>
        <v>196238</v>
      </c>
    </row>
    <row r="331" spans="1:7" x14ac:dyDescent="0.35">
      <c r="A331" s="13" t="s">
        <v>341</v>
      </c>
      <c r="B331" s="14">
        <v>44963</v>
      </c>
      <c r="C331" s="2" t="s">
        <v>89</v>
      </c>
      <c r="D331" s="2" t="s">
        <v>25</v>
      </c>
      <c r="E331" s="15">
        <v>45645</v>
      </c>
      <c r="F331" s="2">
        <v>2</v>
      </c>
      <c r="G331" s="15">
        <f>SalesData!$E331*SalesData!$F331</f>
        <v>91290</v>
      </c>
    </row>
    <row r="332" spans="1:7" x14ac:dyDescent="0.35">
      <c r="A332" s="13" t="s">
        <v>342</v>
      </c>
      <c r="B332" s="14">
        <v>44980</v>
      </c>
      <c r="C332" s="2" t="s">
        <v>31</v>
      </c>
      <c r="D332" s="2" t="s">
        <v>25</v>
      </c>
      <c r="E332" s="15">
        <v>7105</v>
      </c>
      <c r="F332" s="2">
        <v>6</v>
      </c>
      <c r="G332" s="15">
        <f>SalesData!$E332*SalesData!$F332</f>
        <v>42630</v>
      </c>
    </row>
    <row r="333" spans="1:7" x14ac:dyDescent="0.35">
      <c r="A333" s="16" t="s">
        <v>343</v>
      </c>
      <c r="B333" s="17">
        <v>45176</v>
      </c>
      <c r="C333" s="3" t="s">
        <v>14</v>
      </c>
      <c r="D333" s="3" t="s">
        <v>17</v>
      </c>
      <c r="E333" s="18">
        <v>34588</v>
      </c>
      <c r="F333" s="3">
        <v>3</v>
      </c>
      <c r="G333" s="18">
        <f>SalesData!$E333*SalesData!$F333</f>
        <v>103764</v>
      </c>
    </row>
    <row r="334" spans="1:7" x14ac:dyDescent="0.35">
      <c r="A334" s="13" t="s">
        <v>344</v>
      </c>
      <c r="B334" s="14">
        <v>45245</v>
      </c>
      <c r="C334" s="2" t="s">
        <v>16</v>
      </c>
      <c r="D334" s="2" t="s">
        <v>23</v>
      </c>
      <c r="E334" s="15">
        <v>20510</v>
      </c>
      <c r="F334" s="2">
        <v>5</v>
      </c>
      <c r="G334" s="15">
        <f>SalesData!$E334*SalesData!$F334</f>
        <v>102550</v>
      </c>
    </row>
    <row r="335" spans="1:7" x14ac:dyDescent="0.35">
      <c r="A335" s="16" t="s">
        <v>345</v>
      </c>
      <c r="B335" s="17">
        <v>44988</v>
      </c>
      <c r="C335" s="3" t="s">
        <v>31</v>
      </c>
      <c r="D335" s="3" t="s">
        <v>20</v>
      </c>
      <c r="E335" s="18">
        <v>44496</v>
      </c>
      <c r="F335" s="3">
        <v>1</v>
      </c>
      <c r="G335" s="18">
        <f>SalesData!$E335*SalesData!$F335</f>
        <v>44496</v>
      </c>
    </row>
    <row r="336" spans="1:7" x14ac:dyDescent="0.35">
      <c r="A336" s="13" t="s">
        <v>346</v>
      </c>
      <c r="B336" s="14">
        <v>45239</v>
      </c>
      <c r="C336" s="2" t="s">
        <v>14</v>
      </c>
      <c r="D336" s="2" t="s">
        <v>29</v>
      </c>
      <c r="E336" s="15">
        <v>17689</v>
      </c>
      <c r="F336" s="2">
        <v>9</v>
      </c>
      <c r="G336" s="15">
        <f>SalesData!$E336*SalesData!$F336</f>
        <v>159201</v>
      </c>
    </row>
    <row r="337" spans="1:7" x14ac:dyDescent="0.35">
      <c r="A337" s="16" t="s">
        <v>347</v>
      </c>
      <c r="B337" s="17">
        <v>45125</v>
      </c>
      <c r="C337" s="3" t="s">
        <v>89</v>
      </c>
      <c r="D337" s="3" t="s">
        <v>29</v>
      </c>
      <c r="E337" s="18">
        <v>34885</v>
      </c>
      <c r="F337" s="3">
        <v>7</v>
      </c>
      <c r="G337" s="18">
        <f>SalesData!$E337*SalesData!$F337</f>
        <v>244195</v>
      </c>
    </row>
    <row r="338" spans="1:7" x14ac:dyDescent="0.35">
      <c r="A338" s="13" t="s">
        <v>348</v>
      </c>
      <c r="B338" s="14">
        <v>45256</v>
      </c>
      <c r="C338" s="2" t="s">
        <v>16</v>
      </c>
      <c r="D338" s="2" t="s">
        <v>17</v>
      </c>
      <c r="E338" s="15">
        <v>36538</v>
      </c>
      <c r="F338" s="2">
        <v>7</v>
      </c>
      <c r="G338" s="15">
        <f>SalesData!$E338*SalesData!$F338</f>
        <v>255766</v>
      </c>
    </row>
    <row r="339" spans="1:7" x14ac:dyDescent="0.35">
      <c r="A339" s="16" t="s">
        <v>349</v>
      </c>
      <c r="B339" s="17">
        <v>45164</v>
      </c>
      <c r="C339" s="3" t="s">
        <v>14</v>
      </c>
      <c r="D339" s="3" t="s">
        <v>20</v>
      </c>
      <c r="E339" s="18">
        <v>3475</v>
      </c>
      <c r="F339" s="3">
        <v>10</v>
      </c>
      <c r="G339" s="18">
        <f>SalesData!$E339*SalesData!$F339</f>
        <v>34750</v>
      </c>
    </row>
    <row r="340" spans="1:7" x14ac:dyDescent="0.35">
      <c r="A340" s="13" t="s">
        <v>350</v>
      </c>
      <c r="B340" s="14">
        <v>45212</v>
      </c>
      <c r="C340" s="2" t="s">
        <v>16</v>
      </c>
      <c r="D340" s="2" t="s">
        <v>17</v>
      </c>
      <c r="E340" s="15">
        <v>30484</v>
      </c>
      <c r="F340" s="2">
        <v>5</v>
      </c>
      <c r="G340" s="15">
        <f>SalesData!$E340*SalesData!$F340</f>
        <v>152420</v>
      </c>
    </row>
    <row r="341" spans="1:7" x14ac:dyDescent="0.35">
      <c r="A341" s="16" t="s">
        <v>351</v>
      </c>
      <c r="B341" s="17">
        <v>45090</v>
      </c>
      <c r="C341" s="3" t="s">
        <v>89</v>
      </c>
      <c r="D341" s="3" t="s">
        <v>17</v>
      </c>
      <c r="E341" s="18">
        <v>36690</v>
      </c>
      <c r="F341" s="3">
        <v>1</v>
      </c>
      <c r="G341" s="18">
        <f>SalesData!$E341*SalesData!$F341</f>
        <v>36690</v>
      </c>
    </row>
    <row r="342" spans="1:7" x14ac:dyDescent="0.35">
      <c r="A342" s="13" t="s">
        <v>352</v>
      </c>
      <c r="B342" s="14">
        <v>45059</v>
      </c>
      <c r="C342" s="2" t="s">
        <v>31</v>
      </c>
      <c r="D342" s="2" t="s">
        <v>20</v>
      </c>
      <c r="E342" s="15">
        <v>47091</v>
      </c>
      <c r="F342" s="2">
        <v>4</v>
      </c>
      <c r="G342" s="15">
        <f>SalesData!$E342*SalesData!$F342</f>
        <v>188364</v>
      </c>
    </row>
    <row r="343" spans="1:7" x14ac:dyDescent="0.35">
      <c r="A343" s="16" t="s">
        <v>353</v>
      </c>
      <c r="B343" s="17">
        <v>45252</v>
      </c>
      <c r="C343" s="3" t="s">
        <v>31</v>
      </c>
      <c r="D343" s="3" t="s">
        <v>29</v>
      </c>
      <c r="E343" s="18">
        <v>42981</v>
      </c>
      <c r="F343" s="3">
        <v>10</v>
      </c>
      <c r="G343" s="18">
        <f>SalesData!$E343*SalesData!$F343</f>
        <v>429810</v>
      </c>
    </row>
    <row r="344" spans="1:7" x14ac:dyDescent="0.35">
      <c r="A344" s="13" t="s">
        <v>354</v>
      </c>
      <c r="B344" s="14">
        <v>45009</v>
      </c>
      <c r="C344" s="2" t="s">
        <v>31</v>
      </c>
      <c r="D344" s="2" t="s">
        <v>17</v>
      </c>
      <c r="E344" s="15">
        <v>26032</v>
      </c>
      <c r="F344" s="2">
        <v>5</v>
      </c>
      <c r="G344" s="15">
        <f>SalesData!$E344*SalesData!$F344</f>
        <v>130160</v>
      </c>
    </row>
    <row r="345" spans="1:7" x14ac:dyDescent="0.35">
      <c r="A345" s="16" t="s">
        <v>355</v>
      </c>
      <c r="B345" s="17">
        <v>45186</v>
      </c>
      <c r="C345" s="3" t="s">
        <v>31</v>
      </c>
      <c r="D345" s="3" t="s">
        <v>20</v>
      </c>
      <c r="E345" s="18">
        <v>27555</v>
      </c>
      <c r="F345" s="3">
        <v>5</v>
      </c>
      <c r="G345" s="18">
        <f>SalesData!$E345*SalesData!$F345</f>
        <v>137775</v>
      </c>
    </row>
    <row r="346" spans="1:7" x14ac:dyDescent="0.35">
      <c r="A346" s="13" t="s">
        <v>356</v>
      </c>
      <c r="B346" s="14">
        <v>45023</v>
      </c>
      <c r="C346" s="2" t="s">
        <v>14</v>
      </c>
      <c r="D346" s="2" t="s">
        <v>25</v>
      </c>
      <c r="E346" s="15">
        <v>8624</v>
      </c>
      <c r="F346" s="2">
        <v>4</v>
      </c>
      <c r="G346" s="15">
        <f>SalesData!$E346*SalesData!$F346</f>
        <v>34496</v>
      </c>
    </row>
    <row r="347" spans="1:7" x14ac:dyDescent="0.35">
      <c r="A347" s="16" t="s">
        <v>357</v>
      </c>
      <c r="B347" s="17">
        <v>45201</v>
      </c>
      <c r="C347" s="3" t="s">
        <v>16</v>
      </c>
      <c r="D347" s="3" t="s">
        <v>17</v>
      </c>
      <c r="E347" s="18">
        <v>9503</v>
      </c>
      <c r="F347" s="3">
        <v>7</v>
      </c>
      <c r="G347" s="18">
        <f>SalesData!$E347*SalesData!$F347</f>
        <v>66521</v>
      </c>
    </row>
    <row r="348" spans="1:7" x14ac:dyDescent="0.35">
      <c r="A348" s="16" t="s">
        <v>358</v>
      </c>
      <c r="B348" s="17">
        <v>45107</v>
      </c>
      <c r="C348" s="3" t="s">
        <v>89</v>
      </c>
      <c r="D348" s="3" t="s">
        <v>25</v>
      </c>
      <c r="E348" s="18">
        <v>25533</v>
      </c>
      <c r="F348" s="3">
        <v>3</v>
      </c>
      <c r="G348" s="18">
        <f>SalesData!$E348*SalesData!$F348</f>
        <v>76599</v>
      </c>
    </row>
    <row r="349" spans="1:7" x14ac:dyDescent="0.35">
      <c r="A349" s="13" t="s">
        <v>359</v>
      </c>
      <c r="B349" s="14">
        <v>45161</v>
      </c>
      <c r="C349" s="2" t="s">
        <v>89</v>
      </c>
      <c r="D349" s="2" t="s">
        <v>25</v>
      </c>
      <c r="E349" s="15">
        <v>44005</v>
      </c>
      <c r="F349" s="2">
        <v>7</v>
      </c>
      <c r="G349" s="15">
        <f>SalesData!$E349*SalesData!$F349</f>
        <v>308035</v>
      </c>
    </row>
    <row r="350" spans="1:7" x14ac:dyDescent="0.35">
      <c r="A350" s="16" t="s">
        <v>360</v>
      </c>
      <c r="B350" s="17">
        <v>45047</v>
      </c>
      <c r="C350" s="3" t="s">
        <v>16</v>
      </c>
      <c r="D350" s="3" t="s">
        <v>23</v>
      </c>
      <c r="E350" s="18">
        <v>45362</v>
      </c>
      <c r="F350" s="3">
        <v>3</v>
      </c>
      <c r="G350" s="18">
        <f>SalesData!$E350*SalesData!$F350</f>
        <v>136086</v>
      </c>
    </row>
    <row r="351" spans="1:7" x14ac:dyDescent="0.35">
      <c r="A351" s="13" t="s">
        <v>361</v>
      </c>
      <c r="B351" s="14">
        <v>45255</v>
      </c>
      <c r="C351" s="2" t="s">
        <v>14</v>
      </c>
      <c r="D351" s="2" t="s">
        <v>20</v>
      </c>
      <c r="E351" s="15">
        <v>48246</v>
      </c>
      <c r="F351" s="2">
        <v>1</v>
      </c>
      <c r="G351" s="15">
        <f>SalesData!$E351*SalesData!$F351</f>
        <v>48246</v>
      </c>
    </row>
    <row r="352" spans="1:7" x14ac:dyDescent="0.35">
      <c r="A352" s="16" t="s">
        <v>362</v>
      </c>
      <c r="B352" s="17">
        <v>45196</v>
      </c>
      <c r="C352" s="3" t="s">
        <v>16</v>
      </c>
      <c r="D352" s="3" t="s">
        <v>29</v>
      </c>
      <c r="E352" s="18">
        <v>29033</v>
      </c>
      <c r="F352" s="3">
        <v>8</v>
      </c>
      <c r="G352" s="18">
        <f>SalesData!$E352*SalesData!$F352</f>
        <v>232264</v>
      </c>
    </row>
    <row r="353" spans="1:7" x14ac:dyDescent="0.35">
      <c r="A353" s="13" t="s">
        <v>363</v>
      </c>
      <c r="B353" s="14">
        <v>45103</v>
      </c>
      <c r="C353" s="2" t="s">
        <v>31</v>
      </c>
      <c r="D353" s="2" t="s">
        <v>20</v>
      </c>
      <c r="E353" s="15">
        <v>29640</v>
      </c>
      <c r="F353" s="2">
        <v>9</v>
      </c>
      <c r="G353" s="15">
        <f>SalesData!$E353*SalesData!$F353</f>
        <v>266760</v>
      </c>
    </row>
    <row r="354" spans="1:7" x14ac:dyDescent="0.35">
      <c r="A354" s="16" t="s">
        <v>364</v>
      </c>
      <c r="B354" s="17">
        <v>44991</v>
      </c>
      <c r="C354" s="3" t="s">
        <v>14</v>
      </c>
      <c r="D354" s="3" t="s">
        <v>23</v>
      </c>
      <c r="E354" s="18">
        <v>32868</v>
      </c>
      <c r="F354" s="3">
        <v>8</v>
      </c>
      <c r="G354" s="18">
        <f>SalesData!$E354*SalesData!$F354</f>
        <v>262944</v>
      </c>
    </row>
    <row r="355" spans="1:7" x14ac:dyDescent="0.35">
      <c r="A355" s="13" t="s">
        <v>365</v>
      </c>
      <c r="B355" s="14">
        <v>45171</v>
      </c>
      <c r="C355" s="2" t="s">
        <v>14</v>
      </c>
      <c r="D355" s="2" t="s">
        <v>29</v>
      </c>
      <c r="E355" s="15">
        <v>17845</v>
      </c>
      <c r="F355" s="2">
        <v>5</v>
      </c>
      <c r="G355" s="15">
        <f>SalesData!$E355*SalesData!$F355</f>
        <v>89225</v>
      </c>
    </row>
    <row r="356" spans="1:7" x14ac:dyDescent="0.35">
      <c r="A356" s="16" t="s">
        <v>366</v>
      </c>
      <c r="B356" s="17">
        <v>45072</v>
      </c>
      <c r="C356" s="3" t="s">
        <v>14</v>
      </c>
      <c r="D356" s="3" t="s">
        <v>25</v>
      </c>
      <c r="E356" s="18">
        <v>11689</v>
      </c>
      <c r="F356" s="3">
        <v>8</v>
      </c>
      <c r="G356" s="18">
        <f>SalesData!$E356*SalesData!$F356</f>
        <v>93512</v>
      </c>
    </row>
    <row r="357" spans="1:7" x14ac:dyDescent="0.35">
      <c r="A357" s="13" t="s">
        <v>367</v>
      </c>
      <c r="B357" s="14">
        <v>45108</v>
      </c>
      <c r="C357" s="2" t="s">
        <v>14</v>
      </c>
      <c r="D357" s="2" t="s">
        <v>17</v>
      </c>
      <c r="E357" s="15">
        <v>37591</v>
      </c>
      <c r="F357" s="2">
        <v>6</v>
      </c>
      <c r="G357" s="15">
        <f>SalesData!$E357*SalesData!$F357</f>
        <v>225546</v>
      </c>
    </row>
    <row r="358" spans="1:7" x14ac:dyDescent="0.35">
      <c r="A358" s="16" t="s">
        <v>368</v>
      </c>
      <c r="B358" s="17">
        <v>45001</v>
      </c>
      <c r="C358" s="3" t="s">
        <v>31</v>
      </c>
      <c r="D358" s="3" t="s">
        <v>23</v>
      </c>
      <c r="E358" s="18">
        <v>30915</v>
      </c>
      <c r="F358" s="3">
        <v>5</v>
      </c>
      <c r="G358" s="18">
        <f>SalesData!$E358*SalesData!$F358</f>
        <v>154575</v>
      </c>
    </row>
    <row r="359" spans="1:7" x14ac:dyDescent="0.35">
      <c r="A359" s="13" t="s">
        <v>369</v>
      </c>
      <c r="B359" s="14">
        <v>44930</v>
      </c>
      <c r="C359" s="2" t="s">
        <v>89</v>
      </c>
      <c r="D359" s="2" t="s">
        <v>17</v>
      </c>
      <c r="E359" s="15">
        <v>27801</v>
      </c>
      <c r="F359" s="2">
        <v>3</v>
      </c>
      <c r="G359" s="15">
        <f>SalesData!$E359*SalesData!$F359</f>
        <v>83403</v>
      </c>
    </row>
    <row r="360" spans="1:7" x14ac:dyDescent="0.35">
      <c r="A360" s="16" t="s">
        <v>370</v>
      </c>
      <c r="B360" s="17">
        <v>45190</v>
      </c>
      <c r="C360" s="3" t="s">
        <v>89</v>
      </c>
      <c r="D360" s="3" t="s">
        <v>29</v>
      </c>
      <c r="E360" s="18">
        <v>46913</v>
      </c>
      <c r="F360" s="3">
        <v>8</v>
      </c>
      <c r="G360" s="18">
        <f>SalesData!$E360*SalesData!$F360</f>
        <v>375304</v>
      </c>
    </row>
    <row r="361" spans="1:7" x14ac:dyDescent="0.35">
      <c r="A361" s="13" t="s">
        <v>371</v>
      </c>
      <c r="B361" s="14">
        <v>44946</v>
      </c>
      <c r="C361" s="2" t="s">
        <v>89</v>
      </c>
      <c r="D361" s="2" t="s">
        <v>23</v>
      </c>
      <c r="E361" s="15">
        <v>37572</v>
      </c>
      <c r="F361" s="2">
        <v>1</v>
      </c>
      <c r="G361" s="15">
        <f>SalesData!$E361*SalesData!$F361</f>
        <v>37572</v>
      </c>
    </row>
    <row r="362" spans="1:7" x14ac:dyDescent="0.35">
      <c r="A362" s="16" t="s">
        <v>372</v>
      </c>
      <c r="B362" s="17">
        <v>44941</v>
      </c>
      <c r="C362" s="3" t="s">
        <v>14</v>
      </c>
      <c r="D362" s="3" t="s">
        <v>17</v>
      </c>
      <c r="E362" s="18">
        <v>22286</v>
      </c>
      <c r="F362" s="3">
        <v>1</v>
      </c>
      <c r="G362" s="18">
        <f>SalesData!$E362*SalesData!$F362</f>
        <v>22286</v>
      </c>
    </row>
    <row r="363" spans="1:7" x14ac:dyDescent="0.35">
      <c r="A363" s="13" t="s">
        <v>373</v>
      </c>
      <c r="B363" s="14">
        <v>44985</v>
      </c>
      <c r="C363" s="2" t="s">
        <v>31</v>
      </c>
      <c r="D363" s="2" t="s">
        <v>23</v>
      </c>
      <c r="E363" s="15">
        <v>1692</v>
      </c>
      <c r="F363" s="2">
        <v>3</v>
      </c>
      <c r="G363" s="15">
        <f>SalesData!$E363*SalesData!$F363</f>
        <v>5076</v>
      </c>
    </row>
    <row r="364" spans="1:7" x14ac:dyDescent="0.35">
      <c r="A364" s="16" t="s">
        <v>374</v>
      </c>
      <c r="B364" s="17">
        <v>45291</v>
      </c>
      <c r="C364" s="3" t="s">
        <v>89</v>
      </c>
      <c r="D364" s="3" t="s">
        <v>25</v>
      </c>
      <c r="E364" s="18">
        <v>38232</v>
      </c>
      <c r="F364" s="3">
        <v>6</v>
      </c>
      <c r="G364" s="18">
        <f>SalesData!$E364*SalesData!$F364</f>
        <v>229392</v>
      </c>
    </row>
    <row r="365" spans="1:7" x14ac:dyDescent="0.35">
      <c r="A365" s="13" t="s">
        <v>375</v>
      </c>
      <c r="B365" s="14">
        <v>45083</v>
      </c>
      <c r="C365" s="2" t="s">
        <v>31</v>
      </c>
      <c r="D365" s="2" t="s">
        <v>23</v>
      </c>
      <c r="E365" s="15">
        <v>23050</v>
      </c>
      <c r="F365" s="2">
        <v>4</v>
      </c>
      <c r="G365" s="15">
        <f>SalesData!$E365*SalesData!$F365</f>
        <v>92200</v>
      </c>
    </row>
    <row r="366" spans="1:7" x14ac:dyDescent="0.35">
      <c r="A366" s="13" t="s">
        <v>376</v>
      </c>
      <c r="B366" s="14">
        <v>45167</v>
      </c>
      <c r="C366" s="2" t="s">
        <v>14</v>
      </c>
      <c r="D366" s="2" t="s">
        <v>25</v>
      </c>
      <c r="E366" s="15">
        <v>48623</v>
      </c>
      <c r="F366" s="2">
        <v>3</v>
      </c>
      <c r="G366" s="15">
        <f>SalesData!$E366*SalesData!$F366</f>
        <v>145869</v>
      </c>
    </row>
    <row r="367" spans="1:7" x14ac:dyDescent="0.35">
      <c r="A367" s="16" t="s">
        <v>377</v>
      </c>
      <c r="B367" s="17">
        <v>45052</v>
      </c>
      <c r="C367" s="3" t="s">
        <v>31</v>
      </c>
      <c r="D367" s="3" t="s">
        <v>20</v>
      </c>
      <c r="E367" s="18">
        <v>11420</v>
      </c>
      <c r="F367" s="3">
        <v>5</v>
      </c>
      <c r="G367" s="18">
        <f>SalesData!$E367*SalesData!$F367</f>
        <v>57100</v>
      </c>
    </row>
    <row r="368" spans="1:7" x14ac:dyDescent="0.35">
      <c r="A368" s="13" t="s">
        <v>378</v>
      </c>
      <c r="B368" s="14">
        <v>45227</v>
      </c>
      <c r="C368" s="2" t="s">
        <v>16</v>
      </c>
      <c r="D368" s="2" t="s">
        <v>17</v>
      </c>
      <c r="E368" s="15">
        <v>11554</v>
      </c>
      <c r="F368" s="2">
        <v>6</v>
      </c>
      <c r="G368" s="15">
        <f>SalesData!$E368*SalesData!$F368</f>
        <v>69324</v>
      </c>
    </row>
    <row r="369" spans="1:7" x14ac:dyDescent="0.35">
      <c r="A369" s="16" t="s">
        <v>379</v>
      </c>
      <c r="B369" s="17">
        <v>45018</v>
      </c>
      <c r="C369" s="3" t="s">
        <v>31</v>
      </c>
      <c r="D369" s="3" t="s">
        <v>25</v>
      </c>
      <c r="E369" s="18">
        <v>4250</v>
      </c>
      <c r="F369" s="3">
        <v>7</v>
      </c>
      <c r="G369" s="18">
        <f>SalesData!$E369*SalesData!$F369</f>
        <v>29750</v>
      </c>
    </row>
    <row r="370" spans="1:7" x14ac:dyDescent="0.35">
      <c r="A370" s="13" t="s">
        <v>380</v>
      </c>
      <c r="B370" s="14">
        <v>44974</v>
      </c>
      <c r="C370" s="2" t="s">
        <v>31</v>
      </c>
      <c r="D370" s="2" t="s">
        <v>20</v>
      </c>
      <c r="E370" s="15">
        <v>21878</v>
      </c>
      <c r="F370" s="2">
        <v>10</v>
      </c>
      <c r="G370" s="15">
        <f>SalesData!$E370*SalesData!$F370</f>
        <v>218780</v>
      </c>
    </row>
    <row r="371" spans="1:7" x14ac:dyDescent="0.35">
      <c r="A371" s="16" t="s">
        <v>381</v>
      </c>
      <c r="B371" s="17">
        <v>45282</v>
      </c>
      <c r="C371" s="3" t="s">
        <v>89</v>
      </c>
      <c r="D371" s="3" t="s">
        <v>23</v>
      </c>
      <c r="E371" s="18">
        <v>46820</v>
      </c>
      <c r="F371" s="3">
        <v>1</v>
      </c>
      <c r="G371" s="18">
        <f>SalesData!$E371*SalesData!$F371</f>
        <v>46820</v>
      </c>
    </row>
    <row r="372" spans="1:7" x14ac:dyDescent="0.35">
      <c r="A372" s="13" t="s">
        <v>382</v>
      </c>
      <c r="B372" s="14">
        <v>45268</v>
      </c>
      <c r="C372" s="2" t="s">
        <v>89</v>
      </c>
      <c r="D372" s="2" t="s">
        <v>20</v>
      </c>
      <c r="E372" s="15">
        <v>26995</v>
      </c>
      <c r="F372" s="2">
        <v>10</v>
      </c>
      <c r="G372" s="15">
        <f>SalesData!$E372*SalesData!$F372</f>
        <v>269950</v>
      </c>
    </row>
    <row r="373" spans="1:7" x14ac:dyDescent="0.35">
      <c r="A373" s="13" t="s">
        <v>383</v>
      </c>
      <c r="B373" s="14">
        <v>44954</v>
      </c>
      <c r="C373" s="2" t="s">
        <v>89</v>
      </c>
      <c r="D373" s="2" t="s">
        <v>25</v>
      </c>
      <c r="E373" s="15">
        <v>41500</v>
      </c>
      <c r="F373" s="2">
        <v>5</v>
      </c>
      <c r="G373" s="15">
        <f>SalesData!$E373*SalesData!$F373</f>
        <v>207500</v>
      </c>
    </row>
    <row r="374" spans="1:7" x14ac:dyDescent="0.35">
      <c r="A374" s="16" t="s">
        <v>384</v>
      </c>
      <c r="B374" s="17">
        <v>45118</v>
      </c>
      <c r="C374" s="3" t="s">
        <v>31</v>
      </c>
      <c r="D374" s="3" t="s">
        <v>29</v>
      </c>
      <c r="E374" s="18">
        <v>37584</v>
      </c>
      <c r="F374" s="3">
        <v>5</v>
      </c>
      <c r="G374" s="18">
        <f>SalesData!$E374*SalesData!$F374</f>
        <v>187920</v>
      </c>
    </row>
    <row r="375" spans="1:7" x14ac:dyDescent="0.35">
      <c r="A375" s="13" t="s">
        <v>385</v>
      </c>
      <c r="B375" s="14">
        <v>45007</v>
      </c>
      <c r="C375" s="2" t="s">
        <v>89</v>
      </c>
      <c r="D375" s="2" t="s">
        <v>25</v>
      </c>
      <c r="E375" s="15">
        <v>16684</v>
      </c>
      <c r="F375" s="2">
        <v>2</v>
      </c>
      <c r="G375" s="15">
        <f>SalesData!$E375*SalesData!$F375</f>
        <v>33368</v>
      </c>
    </row>
    <row r="376" spans="1:7" x14ac:dyDescent="0.35">
      <c r="A376" s="16" t="s">
        <v>386</v>
      </c>
      <c r="B376" s="17">
        <v>45088</v>
      </c>
      <c r="C376" s="3" t="s">
        <v>14</v>
      </c>
      <c r="D376" s="3" t="s">
        <v>25</v>
      </c>
      <c r="E376" s="18">
        <v>18908</v>
      </c>
      <c r="F376" s="3">
        <v>5</v>
      </c>
      <c r="G376" s="18">
        <f>SalesData!$E376*SalesData!$F376</f>
        <v>94540</v>
      </c>
    </row>
    <row r="377" spans="1:7" x14ac:dyDescent="0.35">
      <c r="A377" s="13" t="s">
        <v>387</v>
      </c>
      <c r="B377" s="14">
        <v>45246</v>
      </c>
      <c r="C377" s="2" t="s">
        <v>89</v>
      </c>
      <c r="D377" s="2" t="s">
        <v>20</v>
      </c>
      <c r="E377" s="15">
        <v>21100</v>
      </c>
      <c r="F377" s="2">
        <v>10</v>
      </c>
      <c r="G377" s="15">
        <f>SalesData!$E377*SalesData!$F377</f>
        <v>211000</v>
      </c>
    </row>
    <row r="378" spans="1:7" x14ac:dyDescent="0.35">
      <c r="A378" s="13" t="s">
        <v>388</v>
      </c>
      <c r="B378" s="14">
        <v>45214</v>
      </c>
      <c r="C378" s="2" t="s">
        <v>31</v>
      </c>
      <c r="D378" s="2" t="s">
        <v>29</v>
      </c>
      <c r="E378" s="15">
        <v>47660</v>
      </c>
      <c r="F378" s="2">
        <v>8</v>
      </c>
      <c r="G378" s="15">
        <f>SalesData!$E378*SalesData!$F378</f>
        <v>381280</v>
      </c>
    </row>
    <row r="379" spans="1:7" x14ac:dyDescent="0.35">
      <c r="A379" s="16" t="s">
        <v>389</v>
      </c>
      <c r="B379" s="17">
        <v>45202</v>
      </c>
      <c r="C379" s="3" t="s">
        <v>16</v>
      </c>
      <c r="D379" s="3" t="s">
        <v>20</v>
      </c>
      <c r="E379" s="18">
        <v>40981</v>
      </c>
      <c r="F379" s="3">
        <v>8</v>
      </c>
      <c r="G379" s="18">
        <f>SalesData!$E379*SalesData!$F379</f>
        <v>327848</v>
      </c>
    </row>
    <row r="380" spans="1:7" x14ac:dyDescent="0.35">
      <c r="A380" s="13" t="s">
        <v>390</v>
      </c>
      <c r="B380" s="14">
        <v>45120</v>
      </c>
      <c r="C380" s="2" t="s">
        <v>31</v>
      </c>
      <c r="D380" s="2" t="s">
        <v>17</v>
      </c>
      <c r="E380" s="15">
        <v>44710</v>
      </c>
      <c r="F380" s="2">
        <v>1</v>
      </c>
      <c r="G380" s="15">
        <f>SalesData!$E380*SalesData!$F380</f>
        <v>44710</v>
      </c>
    </row>
    <row r="381" spans="1:7" x14ac:dyDescent="0.35">
      <c r="A381" s="16" t="s">
        <v>391</v>
      </c>
      <c r="B381" s="17">
        <v>44927</v>
      </c>
      <c r="C381" s="3" t="s">
        <v>89</v>
      </c>
      <c r="D381" s="3" t="s">
        <v>17</v>
      </c>
      <c r="E381" s="18">
        <v>14292</v>
      </c>
      <c r="F381" s="3">
        <v>4</v>
      </c>
      <c r="G381" s="18">
        <f>SalesData!$E381*SalesData!$F381</f>
        <v>57168</v>
      </c>
    </row>
    <row r="382" spans="1:7" x14ac:dyDescent="0.35">
      <c r="A382" s="13" t="s">
        <v>392</v>
      </c>
      <c r="B382" s="14">
        <v>45261</v>
      </c>
      <c r="C382" s="2" t="s">
        <v>16</v>
      </c>
      <c r="D382" s="2" t="s">
        <v>20</v>
      </c>
      <c r="E382" s="15">
        <v>39897</v>
      </c>
      <c r="F382" s="2">
        <v>5</v>
      </c>
      <c r="G382" s="15">
        <f>SalesData!$E382*SalesData!$F382</f>
        <v>199485</v>
      </c>
    </row>
    <row r="383" spans="1:7" x14ac:dyDescent="0.35">
      <c r="A383" s="16" t="s">
        <v>393</v>
      </c>
      <c r="B383" s="17">
        <v>44951</v>
      </c>
      <c r="C383" s="3" t="s">
        <v>16</v>
      </c>
      <c r="D383" s="3" t="s">
        <v>23</v>
      </c>
      <c r="E383" s="18">
        <v>48415</v>
      </c>
      <c r="F383" s="3">
        <v>8</v>
      </c>
      <c r="G383" s="18">
        <f>SalesData!$E383*SalesData!$F383</f>
        <v>387320</v>
      </c>
    </row>
    <row r="384" spans="1:7" x14ac:dyDescent="0.35">
      <c r="A384" s="13" t="s">
        <v>394</v>
      </c>
      <c r="B384" s="14">
        <v>45043</v>
      </c>
      <c r="C384" s="2" t="s">
        <v>14</v>
      </c>
      <c r="D384" s="2" t="s">
        <v>29</v>
      </c>
      <c r="E384" s="15">
        <v>2008</v>
      </c>
      <c r="F384" s="2">
        <v>2</v>
      </c>
      <c r="G384" s="15">
        <f>SalesData!$E384*SalesData!$F384</f>
        <v>4016</v>
      </c>
    </row>
    <row r="385" spans="1:7" x14ac:dyDescent="0.35">
      <c r="A385" s="16" t="s">
        <v>395</v>
      </c>
      <c r="B385" s="17">
        <v>44930</v>
      </c>
      <c r="C385" s="3" t="s">
        <v>14</v>
      </c>
      <c r="D385" s="3" t="s">
        <v>17</v>
      </c>
      <c r="E385" s="18">
        <v>21240</v>
      </c>
      <c r="F385" s="3">
        <v>4</v>
      </c>
      <c r="G385" s="18">
        <f>SalesData!$E385*SalesData!$F385</f>
        <v>84960</v>
      </c>
    </row>
    <row r="386" spans="1:7" x14ac:dyDescent="0.35">
      <c r="A386" s="13" t="s">
        <v>396</v>
      </c>
      <c r="B386" s="14">
        <v>45159</v>
      </c>
      <c r="C386" s="2" t="s">
        <v>31</v>
      </c>
      <c r="D386" s="2" t="s">
        <v>25</v>
      </c>
      <c r="E386" s="15">
        <v>49665</v>
      </c>
      <c r="F386" s="2">
        <v>10</v>
      </c>
      <c r="G386" s="15">
        <f>SalesData!$E386*SalesData!$F386</f>
        <v>496650</v>
      </c>
    </row>
    <row r="387" spans="1:7" x14ac:dyDescent="0.35">
      <c r="A387" s="16" t="s">
        <v>397</v>
      </c>
      <c r="B387" s="17">
        <v>45247</v>
      </c>
      <c r="C387" s="3" t="s">
        <v>89</v>
      </c>
      <c r="D387" s="3" t="s">
        <v>20</v>
      </c>
      <c r="E387" s="18">
        <v>10537</v>
      </c>
      <c r="F387" s="3">
        <v>10</v>
      </c>
      <c r="G387" s="18">
        <f>SalesData!$E387*SalesData!$F387</f>
        <v>105370</v>
      </c>
    </row>
    <row r="388" spans="1:7" x14ac:dyDescent="0.35">
      <c r="A388" s="13" t="s">
        <v>398</v>
      </c>
      <c r="B388" s="14">
        <v>44978</v>
      </c>
      <c r="C388" s="2" t="s">
        <v>31</v>
      </c>
      <c r="D388" s="2" t="s">
        <v>20</v>
      </c>
      <c r="E388" s="15">
        <v>20545</v>
      </c>
      <c r="F388" s="2">
        <v>9</v>
      </c>
      <c r="G388" s="15">
        <f>SalesData!$E388*SalesData!$F388</f>
        <v>184905</v>
      </c>
    </row>
    <row r="389" spans="1:7" x14ac:dyDescent="0.35">
      <c r="A389" s="13" t="s">
        <v>399</v>
      </c>
      <c r="B389" s="14">
        <v>45161</v>
      </c>
      <c r="C389" s="2" t="s">
        <v>14</v>
      </c>
      <c r="D389" s="2" t="s">
        <v>17</v>
      </c>
      <c r="E389" s="15">
        <v>14438</v>
      </c>
      <c r="F389" s="2">
        <v>2</v>
      </c>
      <c r="G389" s="15">
        <f>SalesData!$E389*SalesData!$F389</f>
        <v>28876</v>
      </c>
    </row>
    <row r="390" spans="1:7" x14ac:dyDescent="0.35">
      <c r="A390" s="16" t="s">
        <v>400</v>
      </c>
      <c r="B390" s="17">
        <v>45211</v>
      </c>
      <c r="C390" s="3" t="s">
        <v>89</v>
      </c>
      <c r="D390" s="3" t="s">
        <v>17</v>
      </c>
      <c r="E390" s="18">
        <v>19567</v>
      </c>
      <c r="F390" s="3">
        <v>4</v>
      </c>
      <c r="G390" s="18">
        <f>SalesData!$E390*SalesData!$F390</f>
        <v>78268</v>
      </c>
    </row>
    <row r="391" spans="1:7" x14ac:dyDescent="0.35">
      <c r="A391" s="16" t="s">
        <v>401</v>
      </c>
      <c r="B391" s="17">
        <v>44958</v>
      </c>
      <c r="C391" s="3" t="s">
        <v>16</v>
      </c>
      <c r="D391" s="3" t="s">
        <v>25</v>
      </c>
      <c r="E391" s="18">
        <v>1400</v>
      </c>
      <c r="F391" s="3">
        <v>10</v>
      </c>
      <c r="G391" s="18">
        <f>SalesData!$E391*SalesData!$F391</f>
        <v>14000</v>
      </c>
    </row>
    <row r="392" spans="1:7" x14ac:dyDescent="0.35">
      <c r="A392" s="13" t="s">
        <v>402</v>
      </c>
      <c r="B392" s="14">
        <v>45160</v>
      </c>
      <c r="C392" s="2" t="s">
        <v>16</v>
      </c>
      <c r="D392" s="2" t="s">
        <v>20</v>
      </c>
      <c r="E392" s="15">
        <v>18455</v>
      </c>
      <c r="F392" s="2">
        <v>7</v>
      </c>
      <c r="G392" s="15">
        <f>SalesData!$E392*SalesData!$F392</f>
        <v>129185</v>
      </c>
    </row>
    <row r="393" spans="1:7" x14ac:dyDescent="0.35">
      <c r="A393" s="16" t="s">
        <v>403</v>
      </c>
      <c r="B393" s="17">
        <v>45080</v>
      </c>
      <c r="C393" s="3" t="s">
        <v>89</v>
      </c>
      <c r="D393" s="3" t="s">
        <v>17</v>
      </c>
      <c r="E393" s="18">
        <v>28686</v>
      </c>
      <c r="F393" s="3">
        <v>1</v>
      </c>
      <c r="G393" s="18">
        <f>SalesData!$E393*SalesData!$F393</f>
        <v>28686</v>
      </c>
    </row>
    <row r="394" spans="1:7" x14ac:dyDescent="0.35">
      <c r="A394" s="13" t="s">
        <v>404</v>
      </c>
      <c r="B394" s="14">
        <v>45126</v>
      </c>
      <c r="C394" s="2" t="s">
        <v>31</v>
      </c>
      <c r="D394" s="2" t="s">
        <v>17</v>
      </c>
      <c r="E394" s="15">
        <v>18561</v>
      </c>
      <c r="F394" s="2">
        <v>10</v>
      </c>
      <c r="G394" s="15">
        <f>SalesData!$E394*SalesData!$F394</f>
        <v>185610</v>
      </c>
    </row>
    <row r="395" spans="1:7" x14ac:dyDescent="0.35">
      <c r="A395" s="16" t="s">
        <v>405</v>
      </c>
      <c r="B395" s="17">
        <v>45114</v>
      </c>
      <c r="C395" s="3" t="s">
        <v>16</v>
      </c>
      <c r="D395" s="3" t="s">
        <v>20</v>
      </c>
      <c r="E395" s="18">
        <v>2067</v>
      </c>
      <c r="F395" s="3">
        <v>9</v>
      </c>
      <c r="G395" s="18">
        <f>SalesData!$E395*SalesData!$F395</f>
        <v>18603</v>
      </c>
    </row>
    <row r="396" spans="1:7" x14ac:dyDescent="0.35">
      <c r="A396" s="13" t="s">
        <v>406</v>
      </c>
      <c r="B396" s="14">
        <v>45267</v>
      </c>
      <c r="C396" s="2" t="s">
        <v>16</v>
      </c>
      <c r="D396" s="2" t="s">
        <v>23</v>
      </c>
      <c r="E396" s="15">
        <v>1385</v>
      </c>
      <c r="F396" s="2">
        <v>5</v>
      </c>
      <c r="G396" s="15">
        <f>SalesData!$E396*SalesData!$F396</f>
        <v>6925</v>
      </c>
    </row>
    <row r="397" spans="1:7" x14ac:dyDescent="0.35">
      <c r="A397" s="16" t="s">
        <v>407</v>
      </c>
      <c r="B397" s="17">
        <v>45072</v>
      </c>
      <c r="C397" s="3" t="s">
        <v>14</v>
      </c>
      <c r="D397" s="3" t="s">
        <v>23</v>
      </c>
      <c r="E397" s="18">
        <v>31853</v>
      </c>
      <c r="F397" s="3">
        <v>9</v>
      </c>
      <c r="G397" s="18">
        <f>SalesData!$E397*SalesData!$F397</f>
        <v>286677</v>
      </c>
    </row>
    <row r="398" spans="1:7" x14ac:dyDescent="0.35">
      <c r="A398" s="13" t="s">
        <v>408</v>
      </c>
      <c r="B398" s="14">
        <v>45140</v>
      </c>
      <c r="C398" s="2" t="s">
        <v>89</v>
      </c>
      <c r="D398" s="2" t="s">
        <v>20</v>
      </c>
      <c r="E398" s="15">
        <v>8963</v>
      </c>
      <c r="F398" s="2">
        <v>6</v>
      </c>
      <c r="G398" s="15">
        <f>SalesData!$E398*SalesData!$F398</f>
        <v>53778</v>
      </c>
    </row>
    <row r="399" spans="1:7" x14ac:dyDescent="0.35">
      <c r="A399" s="16" t="s">
        <v>409</v>
      </c>
      <c r="B399" s="17">
        <v>44928</v>
      </c>
      <c r="C399" s="3" t="s">
        <v>89</v>
      </c>
      <c r="D399" s="3" t="s">
        <v>23</v>
      </c>
      <c r="E399" s="18">
        <v>11024</v>
      </c>
      <c r="F399" s="3">
        <v>1</v>
      </c>
      <c r="G399" s="18">
        <f>SalesData!$E399*SalesData!$F399</f>
        <v>11024</v>
      </c>
    </row>
    <row r="400" spans="1:7" x14ac:dyDescent="0.35">
      <c r="A400" s="13" t="s">
        <v>410</v>
      </c>
      <c r="B400" s="14">
        <v>45201</v>
      </c>
      <c r="C400" s="2" t="s">
        <v>14</v>
      </c>
      <c r="D400" s="2" t="s">
        <v>25</v>
      </c>
      <c r="E400" s="15">
        <v>28378</v>
      </c>
      <c r="F400" s="2">
        <v>1</v>
      </c>
      <c r="G400" s="15">
        <f>SalesData!$E400*SalesData!$F400</f>
        <v>28378</v>
      </c>
    </row>
    <row r="401" spans="1:7" x14ac:dyDescent="0.35">
      <c r="A401" s="16" t="s">
        <v>411</v>
      </c>
      <c r="B401" s="17">
        <v>45018</v>
      </c>
      <c r="C401" s="3" t="s">
        <v>16</v>
      </c>
      <c r="D401" s="3" t="s">
        <v>23</v>
      </c>
      <c r="E401" s="18">
        <v>32669</v>
      </c>
      <c r="F401" s="3">
        <v>10</v>
      </c>
      <c r="G401" s="18">
        <f>SalesData!$E401*SalesData!$F401</f>
        <v>326690</v>
      </c>
    </row>
    <row r="402" spans="1:7" x14ac:dyDescent="0.35">
      <c r="A402" s="13" t="s">
        <v>412</v>
      </c>
      <c r="B402" s="14">
        <v>45239</v>
      </c>
      <c r="C402" s="2" t="s">
        <v>14</v>
      </c>
      <c r="D402" s="2" t="s">
        <v>23</v>
      </c>
      <c r="E402" s="15">
        <v>45982</v>
      </c>
      <c r="F402" s="2">
        <v>5</v>
      </c>
      <c r="G402" s="15">
        <f>SalesData!$E402*SalesData!$F402</f>
        <v>229910</v>
      </c>
    </row>
    <row r="403" spans="1:7" x14ac:dyDescent="0.35">
      <c r="A403" s="16" t="s">
        <v>413</v>
      </c>
      <c r="B403" s="17">
        <v>45029</v>
      </c>
      <c r="C403" s="3" t="s">
        <v>89</v>
      </c>
      <c r="D403" s="3" t="s">
        <v>23</v>
      </c>
      <c r="E403" s="18">
        <v>49783</v>
      </c>
      <c r="F403" s="3">
        <v>2</v>
      </c>
      <c r="G403" s="18">
        <f>SalesData!$E403*SalesData!$F403</f>
        <v>99566</v>
      </c>
    </row>
    <row r="404" spans="1:7" x14ac:dyDescent="0.35">
      <c r="A404" s="13" t="s">
        <v>414</v>
      </c>
      <c r="B404" s="14">
        <v>44997</v>
      </c>
      <c r="C404" s="2" t="s">
        <v>14</v>
      </c>
      <c r="D404" s="2" t="s">
        <v>23</v>
      </c>
      <c r="E404" s="15">
        <v>1948</v>
      </c>
      <c r="F404" s="2">
        <v>4</v>
      </c>
      <c r="G404" s="15">
        <f>SalesData!$E404*SalesData!$F404</f>
        <v>7792</v>
      </c>
    </row>
    <row r="405" spans="1:7" x14ac:dyDescent="0.35">
      <c r="A405" s="16" t="s">
        <v>415</v>
      </c>
      <c r="B405" s="17">
        <v>45124</v>
      </c>
      <c r="C405" s="3" t="s">
        <v>14</v>
      </c>
      <c r="D405" s="3" t="s">
        <v>17</v>
      </c>
      <c r="E405" s="18">
        <v>37677</v>
      </c>
      <c r="F405" s="3">
        <v>8</v>
      </c>
      <c r="G405" s="18">
        <f>SalesData!$E405*SalesData!$F405</f>
        <v>301416</v>
      </c>
    </row>
    <row r="406" spans="1:7" x14ac:dyDescent="0.35">
      <c r="A406" s="13" t="s">
        <v>416</v>
      </c>
      <c r="B406" s="14">
        <v>45117</v>
      </c>
      <c r="C406" s="2" t="s">
        <v>31</v>
      </c>
      <c r="D406" s="2" t="s">
        <v>25</v>
      </c>
      <c r="E406" s="15">
        <v>236</v>
      </c>
      <c r="F406" s="2">
        <v>5</v>
      </c>
      <c r="G406" s="15">
        <f>SalesData!$E406*SalesData!$F406</f>
        <v>1180</v>
      </c>
    </row>
    <row r="407" spans="1:7" x14ac:dyDescent="0.35">
      <c r="A407" s="16" t="s">
        <v>417</v>
      </c>
      <c r="B407" s="17">
        <v>45097</v>
      </c>
      <c r="C407" s="3" t="s">
        <v>89</v>
      </c>
      <c r="D407" s="3" t="s">
        <v>20</v>
      </c>
      <c r="E407" s="18">
        <v>40697</v>
      </c>
      <c r="F407" s="3">
        <v>8</v>
      </c>
      <c r="G407" s="18">
        <f>SalesData!$E407*SalesData!$F407</f>
        <v>325576</v>
      </c>
    </row>
    <row r="408" spans="1:7" x14ac:dyDescent="0.35">
      <c r="A408" s="13" t="s">
        <v>418</v>
      </c>
      <c r="B408" s="14">
        <v>44968</v>
      </c>
      <c r="C408" s="2" t="s">
        <v>14</v>
      </c>
      <c r="D408" s="2" t="s">
        <v>20</v>
      </c>
      <c r="E408" s="15">
        <v>44851</v>
      </c>
      <c r="F408" s="2">
        <v>7</v>
      </c>
      <c r="G408" s="15">
        <f>SalesData!$E408*SalesData!$F408</f>
        <v>313957</v>
      </c>
    </row>
    <row r="409" spans="1:7" x14ac:dyDescent="0.35">
      <c r="A409" s="16" t="s">
        <v>419</v>
      </c>
      <c r="B409" s="17">
        <v>45116</v>
      </c>
      <c r="C409" s="3" t="s">
        <v>16</v>
      </c>
      <c r="D409" s="3" t="s">
        <v>17</v>
      </c>
      <c r="E409" s="18">
        <v>25300</v>
      </c>
      <c r="F409" s="3">
        <v>9</v>
      </c>
      <c r="G409" s="18">
        <f>SalesData!$E409*SalesData!$F409</f>
        <v>227700</v>
      </c>
    </row>
    <row r="410" spans="1:7" x14ac:dyDescent="0.35">
      <c r="A410" s="13" t="s">
        <v>420</v>
      </c>
      <c r="B410" s="14">
        <v>45212</v>
      </c>
      <c r="C410" s="2" t="s">
        <v>31</v>
      </c>
      <c r="D410" s="2" t="s">
        <v>17</v>
      </c>
      <c r="E410" s="15">
        <v>7120</v>
      </c>
      <c r="F410" s="2">
        <v>7</v>
      </c>
      <c r="G410" s="15">
        <f>SalesData!$E410*SalesData!$F410</f>
        <v>49840</v>
      </c>
    </row>
    <row r="411" spans="1:7" x14ac:dyDescent="0.35">
      <c r="A411" s="16" t="s">
        <v>421</v>
      </c>
      <c r="B411" s="17">
        <v>45156</v>
      </c>
      <c r="C411" s="3" t="s">
        <v>89</v>
      </c>
      <c r="D411" s="3" t="s">
        <v>17</v>
      </c>
      <c r="E411" s="18">
        <v>28936</v>
      </c>
      <c r="F411" s="3">
        <v>7</v>
      </c>
      <c r="G411" s="18">
        <f>SalesData!$E411*SalesData!$F411</f>
        <v>202552</v>
      </c>
    </row>
    <row r="412" spans="1:7" x14ac:dyDescent="0.35">
      <c r="A412" s="13" t="s">
        <v>422</v>
      </c>
      <c r="B412" s="14">
        <v>45127</v>
      </c>
      <c r="C412" s="2" t="s">
        <v>31</v>
      </c>
      <c r="D412" s="2" t="s">
        <v>23</v>
      </c>
      <c r="E412" s="15">
        <v>16383</v>
      </c>
      <c r="F412" s="2">
        <v>5</v>
      </c>
      <c r="G412" s="15">
        <f>SalesData!$E412*SalesData!$F412</f>
        <v>81915</v>
      </c>
    </row>
    <row r="413" spans="1:7" x14ac:dyDescent="0.35">
      <c r="A413" s="16" t="s">
        <v>423</v>
      </c>
      <c r="B413" s="17">
        <v>45068</v>
      </c>
      <c r="C413" s="3" t="s">
        <v>14</v>
      </c>
      <c r="D413" s="3" t="s">
        <v>20</v>
      </c>
      <c r="E413" s="18">
        <v>30922</v>
      </c>
      <c r="F413" s="3">
        <v>6</v>
      </c>
      <c r="G413" s="18">
        <f>SalesData!$E413*SalesData!$F413</f>
        <v>185532</v>
      </c>
    </row>
    <row r="414" spans="1:7" x14ac:dyDescent="0.35">
      <c r="A414" s="13" t="s">
        <v>424</v>
      </c>
      <c r="B414" s="14">
        <v>45189</v>
      </c>
      <c r="C414" s="2" t="s">
        <v>16</v>
      </c>
      <c r="D414" s="2" t="s">
        <v>20</v>
      </c>
      <c r="E414" s="15">
        <v>46737</v>
      </c>
      <c r="F414" s="2">
        <v>9</v>
      </c>
      <c r="G414" s="15">
        <f>SalesData!$E414*SalesData!$F414</f>
        <v>420633</v>
      </c>
    </row>
    <row r="415" spans="1:7" x14ac:dyDescent="0.35">
      <c r="A415" s="16" t="s">
        <v>425</v>
      </c>
      <c r="B415" s="17">
        <v>45214</v>
      </c>
      <c r="C415" s="3" t="s">
        <v>31</v>
      </c>
      <c r="D415" s="3" t="s">
        <v>25</v>
      </c>
      <c r="E415" s="18">
        <v>16141</v>
      </c>
      <c r="F415" s="3">
        <v>5</v>
      </c>
      <c r="G415" s="18">
        <f>SalesData!$E415*SalesData!$F415</f>
        <v>80705</v>
      </c>
    </row>
    <row r="416" spans="1:7" x14ac:dyDescent="0.35">
      <c r="A416" s="13" t="s">
        <v>426</v>
      </c>
      <c r="B416" s="14">
        <v>45060</v>
      </c>
      <c r="C416" s="2" t="s">
        <v>14</v>
      </c>
      <c r="D416" s="2" t="s">
        <v>20</v>
      </c>
      <c r="E416" s="15">
        <v>17186</v>
      </c>
      <c r="F416" s="2">
        <v>10</v>
      </c>
      <c r="G416" s="15">
        <f>SalesData!$E416*SalesData!$F416</f>
        <v>171860</v>
      </c>
    </row>
    <row r="417" spans="1:7" x14ac:dyDescent="0.35">
      <c r="A417" s="16" t="s">
        <v>427</v>
      </c>
      <c r="B417" s="17">
        <v>44980</v>
      </c>
      <c r="C417" s="3" t="s">
        <v>89</v>
      </c>
      <c r="D417" s="3" t="s">
        <v>20</v>
      </c>
      <c r="E417" s="18">
        <v>1970</v>
      </c>
      <c r="F417" s="3">
        <v>3</v>
      </c>
      <c r="G417" s="18">
        <f>SalesData!$E417*SalesData!$F417</f>
        <v>5910</v>
      </c>
    </row>
    <row r="418" spans="1:7" x14ac:dyDescent="0.35">
      <c r="A418" s="13" t="s">
        <v>428</v>
      </c>
      <c r="B418" s="14">
        <v>45062</v>
      </c>
      <c r="C418" s="2" t="s">
        <v>14</v>
      </c>
      <c r="D418" s="2" t="s">
        <v>29</v>
      </c>
      <c r="E418" s="15">
        <v>7237</v>
      </c>
      <c r="F418" s="2">
        <v>3</v>
      </c>
      <c r="G418" s="15">
        <f>SalesData!$E418*SalesData!$F418</f>
        <v>21711</v>
      </c>
    </row>
    <row r="419" spans="1:7" x14ac:dyDescent="0.35">
      <c r="A419" s="16" t="s">
        <v>429</v>
      </c>
      <c r="B419" s="17">
        <v>45093</v>
      </c>
      <c r="C419" s="3" t="s">
        <v>16</v>
      </c>
      <c r="D419" s="3" t="s">
        <v>17</v>
      </c>
      <c r="E419" s="18">
        <v>47046</v>
      </c>
      <c r="F419" s="3">
        <v>10</v>
      </c>
      <c r="G419" s="18">
        <f>SalesData!$E419*SalesData!$F419</f>
        <v>470460</v>
      </c>
    </row>
    <row r="420" spans="1:7" x14ac:dyDescent="0.35">
      <c r="A420" s="13" t="s">
        <v>430</v>
      </c>
      <c r="B420" s="14">
        <v>45007</v>
      </c>
      <c r="C420" s="2" t="s">
        <v>14</v>
      </c>
      <c r="D420" s="2" t="s">
        <v>17</v>
      </c>
      <c r="E420" s="15">
        <v>12284</v>
      </c>
      <c r="F420" s="2">
        <v>4</v>
      </c>
      <c r="G420" s="15">
        <f>SalesData!$E420*SalesData!$F420</f>
        <v>49136</v>
      </c>
    </row>
    <row r="421" spans="1:7" x14ac:dyDescent="0.35">
      <c r="A421" s="13" t="s">
        <v>431</v>
      </c>
      <c r="B421" s="14">
        <v>45034</v>
      </c>
      <c r="C421" s="2" t="s">
        <v>16</v>
      </c>
      <c r="D421" s="2" t="s">
        <v>20</v>
      </c>
      <c r="E421" s="15">
        <v>49790</v>
      </c>
      <c r="F421" s="2">
        <v>5</v>
      </c>
      <c r="G421" s="15">
        <f>SalesData!$E421*SalesData!$F421</f>
        <v>248950</v>
      </c>
    </row>
    <row r="422" spans="1:7" x14ac:dyDescent="0.35">
      <c r="A422" s="16" t="s">
        <v>432</v>
      </c>
      <c r="B422" s="17">
        <v>45161</v>
      </c>
      <c r="C422" s="3" t="s">
        <v>31</v>
      </c>
      <c r="D422" s="3" t="s">
        <v>17</v>
      </c>
      <c r="E422" s="18">
        <v>36741</v>
      </c>
      <c r="F422" s="3">
        <v>1</v>
      </c>
      <c r="G422" s="18">
        <f>SalesData!$E422*SalesData!$F422</f>
        <v>36741</v>
      </c>
    </row>
    <row r="423" spans="1:7" x14ac:dyDescent="0.35">
      <c r="A423" s="13" t="s">
        <v>433</v>
      </c>
      <c r="B423" s="14">
        <v>44978</v>
      </c>
      <c r="C423" s="2" t="s">
        <v>89</v>
      </c>
      <c r="D423" s="2" t="s">
        <v>17</v>
      </c>
      <c r="E423" s="15">
        <v>40253</v>
      </c>
      <c r="F423" s="2">
        <v>9</v>
      </c>
      <c r="G423" s="15">
        <f>SalesData!$E423*SalesData!$F423</f>
        <v>362277</v>
      </c>
    </row>
    <row r="424" spans="1:7" x14ac:dyDescent="0.35">
      <c r="A424" s="16" t="s">
        <v>434</v>
      </c>
      <c r="B424" s="17">
        <v>44958</v>
      </c>
      <c r="C424" s="3" t="s">
        <v>31</v>
      </c>
      <c r="D424" s="3" t="s">
        <v>25</v>
      </c>
      <c r="E424" s="18">
        <v>36987</v>
      </c>
      <c r="F424" s="3">
        <v>8</v>
      </c>
      <c r="G424" s="18">
        <f>SalesData!$E424*SalesData!$F424</f>
        <v>295896</v>
      </c>
    </row>
    <row r="425" spans="1:7" x14ac:dyDescent="0.35">
      <c r="A425" s="13" t="s">
        <v>435</v>
      </c>
      <c r="B425" s="14">
        <v>44967</v>
      </c>
      <c r="C425" s="2" t="s">
        <v>89</v>
      </c>
      <c r="D425" s="2" t="s">
        <v>25</v>
      </c>
      <c r="E425" s="15">
        <v>31056</v>
      </c>
      <c r="F425" s="2">
        <v>1</v>
      </c>
      <c r="G425" s="15">
        <f>SalesData!$E425*SalesData!$F425</f>
        <v>31056</v>
      </c>
    </row>
    <row r="426" spans="1:7" x14ac:dyDescent="0.35">
      <c r="A426" s="16" t="s">
        <v>436</v>
      </c>
      <c r="B426" s="17">
        <v>45155</v>
      </c>
      <c r="C426" s="3" t="s">
        <v>16</v>
      </c>
      <c r="D426" s="3" t="s">
        <v>25</v>
      </c>
      <c r="E426" s="18">
        <v>6841</v>
      </c>
      <c r="F426" s="3">
        <v>3</v>
      </c>
      <c r="G426" s="18">
        <f>SalesData!$E426*SalesData!$F426</f>
        <v>20523</v>
      </c>
    </row>
    <row r="427" spans="1:7" x14ac:dyDescent="0.35">
      <c r="A427" s="13" t="s">
        <v>437</v>
      </c>
      <c r="B427" s="14">
        <v>45119</v>
      </c>
      <c r="C427" s="2" t="s">
        <v>14</v>
      </c>
      <c r="D427" s="2" t="s">
        <v>29</v>
      </c>
      <c r="E427" s="15">
        <v>10378</v>
      </c>
      <c r="F427" s="2">
        <v>10</v>
      </c>
      <c r="G427" s="15">
        <f>SalesData!$E427*SalesData!$F427</f>
        <v>103780</v>
      </c>
    </row>
    <row r="428" spans="1:7" x14ac:dyDescent="0.35">
      <c r="A428" s="16" t="s">
        <v>438</v>
      </c>
      <c r="B428" s="17">
        <v>45257</v>
      </c>
      <c r="C428" s="3" t="s">
        <v>16</v>
      </c>
      <c r="D428" s="3" t="s">
        <v>29</v>
      </c>
      <c r="E428" s="18">
        <v>22736</v>
      </c>
      <c r="F428" s="3">
        <v>1</v>
      </c>
      <c r="G428" s="18">
        <f>SalesData!$E428*SalesData!$F428</f>
        <v>22736</v>
      </c>
    </row>
    <row r="429" spans="1:7" x14ac:dyDescent="0.35">
      <c r="A429" s="13" t="s">
        <v>439</v>
      </c>
      <c r="B429" s="14">
        <v>45251</v>
      </c>
      <c r="C429" s="2" t="s">
        <v>31</v>
      </c>
      <c r="D429" s="2" t="s">
        <v>25</v>
      </c>
      <c r="E429" s="15">
        <v>36782</v>
      </c>
      <c r="F429" s="2">
        <v>1</v>
      </c>
      <c r="G429" s="15">
        <f>SalesData!$E429*SalesData!$F429</f>
        <v>36782</v>
      </c>
    </row>
    <row r="430" spans="1:7" x14ac:dyDescent="0.35">
      <c r="A430" s="16" t="s">
        <v>440</v>
      </c>
      <c r="B430" s="17">
        <v>45263</v>
      </c>
      <c r="C430" s="3" t="s">
        <v>31</v>
      </c>
      <c r="D430" s="3" t="s">
        <v>17</v>
      </c>
      <c r="E430" s="18">
        <v>49835</v>
      </c>
      <c r="F430" s="3">
        <v>5</v>
      </c>
      <c r="G430" s="18">
        <f>SalesData!$E430*SalesData!$F430</f>
        <v>249175</v>
      </c>
    </row>
    <row r="431" spans="1:7" x14ac:dyDescent="0.35">
      <c r="A431" s="16" t="s">
        <v>441</v>
      </c>
      <c r="B431" s="17">
        <v>45072</v>
      </c>
      <c r="C431" s="3" t="s">
        <v>14</v>
      </c>
      <c r="D431" s="3" t="s">
        <v>23</v>
      </c>
      <c r="E431" s="18">
        <v>24465</v>
      </c>
      <c r="F431" s="3">
        <v>5</v>
      </c>
      <c r="G431" s="18">
        <f>SalesData!$E431*SalesData!$F431</f>
        <v>122325</v>
      </c>
    </row>
    <row r="432" spans="1:7" x14ac:dyDescent="0.35">
      <c r="A432" s="13" t="s">
        <v>442</v>
      </c>
      <c r="B432" s="14">
        <v>44938</v>
      </c>
      <c r="C432" s="2" t="s">
        <v>89</v>
      </c>
      <c r="D432" s="2" t="s">
        <v>29</v>
      </c>
      <c r="E432" s="15">
        <v>31856</v>
      </c>
      <c r="F432" s="2">
        <v>7</v>
      </c>
      <c r="G432" s="15">
        <f>SalesData!$E432*SalesData!$F432</f>
        <v>222992</v>
      </c>
    </row>
    <row r="433" spans="1:7" x14ac:dyDescent="0.35">
      <c r="A433" s="16" t="s">
        <v>443</v>
      </c>
      <c r="B433" s="17">
        <v>45019</v>
      </c>
      <c r="C433" s="3" t="s">
        <v>16</v>
      </c>
      <c r="D433" s="3" t="s">
        <v>29</v>
      </c>
      <c r="E433" s="18">
        <v>13762</v>
      </c>
      <c r="F433" s="3">
        <v>1</v>
      </c>
      <c r="G433" s="18">
        <f>SalesData!$E433*SalesData!$F433</f>
        <v>13762</v>
      </c>
    </row>
    <row r="434" spans="1:7" x14ac:dyDescent="0.35">
      <c r="A434" s="13" t="s">
        <v>444</v>
      </c>
      <c r="B434" s="14">
        <v>45083</v>
      </c>
      <c r="C434" s="2" t="s">
        <v>16</v>
      </c>
      <c r="D434" s="2" t="s">
        <v>29</v>
      </c>
      <c r="E434" s="15">
        <v>36019</v>
      </c>
      <c r="F434" s="2">
        <v>2</v>
      </c>
      <c r="G434" s="15">
        <f>SalesData!$E434*SalesData!$F434</f>
        <v>72038</v>
      </c>
    </row>
    <row r="435" spans="1:7" x14ac:dyDescent="0.35">
      <c r="A435" s="16" t="s">
        <v>445</v>
      </c>
      <c r="B435" s="17">
        <v>45110</v>
      </c>
      <c r="C435" s="3" t="s">
        <v>16</v>
      </c>
      <c r="D435" s="3" t="s">
        <v>17</v>
      </c>
      <c r="E435" s="18">
        <v>4784</v>
      </c>
      <c r="F435" s="3">
        <v>2</v>
      </c>
      <c r="G435" s="18">
        <f>SalesData!$E435*SalesData!$F435</f>
        <v>9568</v>
      </c>
    </row>
    <row r="436" spans="1:7" x14ac:dyDescent="0.35">
      <c r="A436" s="13" t="s">
        <v>446</v>
      </c>
      <c r="B436" s="14">
        <v>44953</v>
      </c>
      <c r="C436" s="2" t="s">
        <v>16</v>
      </c>
      <c r="D436" s="2" t="s">
        <v>23</v>
      </c>
      <c r="E436" s="15">
        <v>47952</v>
      </c>
      <c r="F436" s="2">
        <v>1</v>
      </c>
      <c r="G436" s="15">
        <f>SalesData!$E436*SalesData!$F436</f>
        <v>47952</v>
      </c>
    </row>
    <row r="437" spans="1:7" x14ac:dyDescent="0.35">
      <c r="A437" s="16" t="s">
        <v>447</v>
      </c>
      <c r="B437" s="17">
        <v>45177</v>
      </c>
      <c r="C437" s="3" t="s">
        <v>31</v>
      </c>
      <c r="D437" s="3" t="s">
        <v>17</v>
      </c>
      <c r="E437" s="18">
        <v>5756</v>
      </c>
      <c r="F437" s="3">
        <v>10</v>
      </c>
      <c r="G437" s="18">
        <f>SalesData!$E437*SalesData!$F437</f>
        <v>57560</v>
      </c>
    </row>
    <row r="438" spans="1:7" x14ac:dyDescent="0.35">
      <c r="A438" s="13" t="s">
        <v>448</v>
      </c>
      <c r="B438" s="14">
        <v>44961</v>
      </c>
      <c r="C438" s="2" t="s">
        <v>16</v>
      </c>
      <c r="D438" s="2" t="s">
        <v>20</v>
      </c>
      <c r="E438" s="15">
        <v>26218</v>
      </c>
      <c r="F438" s="2">
        <v>1</v>
      </c>
      <c r="G438" s="15">
        <f>SalesData!$E438*SalesData!$F438</f>
        <v>26218</v>
      </c>
    </row>
    <row r="439" spans="1:7" x14ac:dyDescent="0.35">
      <c r="A439" s="16" t="s">
        <v>449</v>
      </c>
      <c r="B439" s="17">
        <v>44972</v>
      </c>
      <c r="C439" s="3" t="s">
        <v>89</v>
      </c>
      <c r="D439" s="3" t="s">
        <v>29</v>
      </c>
      <c r="E439" s="18">
        <v>14881</v>
      </c>
      <c r="F439" s="3">
        <v>8</v>
      </c>
      <c r="G439" s="18">
        <f>SalesData!$E439*SalesData!$F439</f>
        <v>119048</v>
      </c>
    </row>
    <row r="440" spans="1:7" x14ac:dyDescent="0.35">
      <c r="A440" s="13" t="s">
        <v>450</v>
      </c>
      <c r="B440" s="14">
        <v>45274</v>
      </c>
      <c r="C440" s="2" t="s">
        <v>89</v>
      </c>
      <c r="D440" s="2" t="s">
        <v>23</v>
      </c>
      <c r="E440" s="15">
        <v>8663</v>
      </c>
      <c r="F440" s="2">
        <v>4</v>
      </c>
      <c r="G440" s="15">
        <f>SalesData!$E440*SalesData!$F440</f>
        <v>34652</v>
      </c>
    </row>
    <row r="441" spans="1:7" x14ac:dyDescent="0.35">
      <c r="A441" s="16" t="s">
        <v>451</v>
      </c>
      <c r="B441" s="17">
        <v>45190</v>
      </c>
      <c r="C441" s="3" t="s">
        <v>16</v>
      </c>
      <c r="D441" s="3" t="s">
        <v>25</v>
      </c>
      <c r="E441" s="18">
        <v>16324</v>
      </c>
      <c r="F441" s="3">
        <v>8</v>
      </c>
      <c r="G441" s="18">
        <f>SalesData!$E441*SalesData!$F441</f>
        <v>130592</v>
      </c>
    </row>
    <row r="442" spans="1:7" x14ac:dyDescent="0.35">
      <c r="A442" s="13" t="s">
        <v>452</v>
      </c>
      <c r="B442" s="14">
        <v>45272</v>
      </c>
      <c r="C442" s="2" t="s">
        <v>31</v>
      </c>
      <c r="D442" s="2" t="s">
        <v>23</v>
      </c>
      <c r="E442" s="15">
        <v>35471</v>
      </c>
      <c r="F442" s="2">
        <v>7</v>
      </c>
      <c r="G442" s="15">
        <f>SalesData!$E442*SalesData!$F442</f>
        <v>248297</v>
      </c>
    </row>
    <row r="443" spans="1:7" x14ac:dyDescent="0.35">
      <c r="A443" s="16" t="s">
        <v>453</v>
      </c>
      <c r="B443" s="17">
        <v>45145</v>
      </c>
      <c r="C443" s="3" t="s">
        <v>14</v>
      </c>
      <c r="D443" s="3" t="s">
        <v>25</v>
      </c>
      <c r="E443" s="18">
        <v>13365</v>
      </c>
      <c r="F443" s="3">
        <v>5</v>
      </c>
      <c r="G443" s="18">
        <f>SalesData!$E443*SalesData!$F443</f>
        <v>66825</v>
      </c>
    </row>
    <row r="444" spans="1:7" x14ac:dyDescent="0.35">
      <c r="A444" s="13" t="s">
        <v>454</v>
      </c>
      <c r="B444" s="14">
        <v>45163</v>
      </c>
      <c r="C444" s="2" t="s">
        <v>14</v>
      </c>
      <c r="D444" s="2" t="s">
        <v>25</v>
      </c>
      <c r="E444" s="15">
        <v>46106</v>
      </c>
      <c r="F444" s="2">
        <v>10</v>
      </c>
      <c r="G444" s="15">
        <f>SalesData!$E444*SalesData!$F444</f>
        <v>461060</v>
      </c>
    </row>
    <row r="445" spans="1:7" x14ac:dyDescent="0.35">
      <c r="A445" s="16" t="s">
        <v>455</v>
      </c>
      <c r="B445" s="17">
        <v>45100</v>
      </c>
      <c r="C445" s="3" t="s">
        <v>89</v>
      </c>
      <c r="D445" s="3" t="s">
        <v>20</v>
      </c>
      <c r="E445" s="18">
        <v>10196</v>
      </c>
      <c r="F445" s="3">
        <v>4</v>
      </c>
      <c r="G445" s="18">
        <f>SalesData!$E445*SalesData!$F445</f>
        <v>40784</v>
      </c>
    </row>
    <row r="446" spans="1:7" x14ac:dyDescent="0.35">
      <c r="A446" s="13" t="s">
        <v>456</v>
      </c>
      <c r="B446" s="14">
        <v>44950</v>
      </c>
      <c r="C446" s="2" t="s">
        <v>31</v>
      </c>
      <c r="D446" s="2" t="s">
        <v>25</v>
      </c>
      <c r="E446" s="15">
        <v>20740</v>
      </c>
      <c r="F446" s="2">
        <v>4</v>
      </c>
      <c r="G446" s="15">
        <f>SalesData!$E446*SalesData!$F446</f>
        <v>82960</v>
      </c>
    </row>
    <row r="447" spans="1:7" x14ac:dyDescent="0.35">
      <c r="A447" s="16" t="s">
        <v>457</v>
      </c>
      <c r="B447" s="17">
        <v>45244</v>
      </c>
      <c r="C447" s="3" t="s">
        <v>89</v>
      </c>
      <c r="D447" s="3" t="s">
        <v>20</v>
      </c>
      <c r="E447" s="18">
        <v>38215</v>
      </c>
      <c r="F447" s="3">
        <v>2</v>
      </c>
      <c r="G447" s="18">
        <f>SalesData!$E447*SalesData!$F447</f>
        <v>76430</v>
      </c>
    </row>
    <row r="448" spans="1:7" x14ac:dyDescent="0.35">
      <c r="A448" s="13" t="s">
        <v>458</v>
      </c>
      <c r="B448" s="14">
        <v>45267</v>
      </c>
      <c r="C448" s="2" t="s">
        <v>89</v>
      </c>
      <c r="D448" s="2" t="s">
        <v>23</v>
      </c>
      <c r="E448" s="15">
        <v>33572</v>
      </c>
      <c r="F448" s="2">
        <v>1</v>
      </c>
      <c r="G448" s="15">
        <f>SalesData!$E448*SalesData!$F448</f>
        <v>33572</v>
      </c>
    </row>
    <row r="449" spans="1:7" x14ac:dyDescent="0.35">
      <c r="A449" s="16" t="s">
        <v>459</v>
      </c>
      <c r="B449" s="17">
        <v>45006</v>
      </c>
      <c r="C449" s="3" t="s">
        <v>31</v>
      </c>
      <c r="D449" s="3" t="s">
        <v>17</v>
      </c>
      <c r="E449" s="18">
        <v>48276</v>
      </c>
      <c r="F449" s="3">
        <v>3</v>
      </c>
      <c r="G449" s="18">
        <f>SalesData!$E449*SalesData!$F449</f>
        <v>144828</v>
      </c>
    </row>
    <row r="450" spans="1:7" x14ac:dyDescent="0.35">
      <c r="A450" s="13" t="s">
        <v>460</v>
      </c>
      <c r="B450" s="14">
        <v>45225</v>
      </c>
      <c r="C450" s="2" t="s">
        <v>16</v>
      </c>
      <c r="D450" s="2" t="s">
        <v>29</v>
      </c>
      <c r="E450" s="15">
        <v>8755</v>
      </c>
      <c r="F450" s="2">
        <v>6</v>
      </c>
      <c r="G450" s="15">
        <f>SalesData!$E450*SalesData!$F450</f>
        <v>52530</v>
      </c>
    </row>
    <row r="451" spans="1:7" x14ac:dyDescent="0.35">
      <c r="A451" s="16" t="s">
        <v>461</v>
      </c>
      <c r="B451" s="17">
        <v>44937</v>
      </c>
      <c r="C451" s="3" t="s">
        <v>31</v>
      </c>
      <c r="D451" s="3" t="s">
        <v>20</v>
      </c>
      <c r="E451" s="18">
        <v>13058</v>
      </c>
      <c r="F451" s="3">
        <v>8</v>
      </c>
      <c r="G451" s="18">
        <f>SalesData!$E451*SalesData!$F451</f>
        <v>104464</v>
      </c>
    </row>
    <row r="452" spans="1:7" x14ac:dyDescent="0.35">
      <c r="A452" s="13" t="s">
        <v>462</v>
      </c>
      <c r="B452" s="14">
        <v>45115</v>
      </c>
      <c r="C452" s="2" t="s">
        <v>89</v>
      </c>
      <c r="D452" s="2" t="s">
        <v>25</v>
      </c>
      <c r="E452" s="15">
        <v>7560</v>
      </c>
      <c r="F452" s="2">
        <v>10</v>
      </c>
      <c r="G452" s="15">
        <f>SalesData!$E452*SalesData!$F452</f>
        <v>75600</v>
      </c>
    </row>
    <row r="453" spans="1:7" x14ac:dyDescent="0.35">
      <c r="A453" s="16" t="s">
        <v>463</v>
      </c>
      <c r="B453" s="17">
        <v>45261</v>
      </c>
      <c r="C453" s="3" t="s">
        <v>89</v>
      </c>
      <c r="D453" s="3" t="s">
        <v>25</v>
      </c>
      <c r="E453" s="18">
        <v>40678</v>
      </c>
      <c r="F453" s="3">
        <v>8</v>
      </c>
      <c r="G453" s="18">
        <f>SalesData!$E453*SalesData!$F453</f>
        <v>325424</v>
      </c>
    </row>
    <row r="454" spans="1:7" x14ac:dyDescent="0.35">
      <c r="A454" s="13" t="s">
        <v>464</v>
      </c>
      <c r="B454" s="14">
        <v>45174</v>
      </c>
      <c r="C454" s="2" t="s">
        <v>16</v>
      </c>
      <c r="D454" s="2" t="s">
        <v>17</v>
      </c>
      <c r="E454" s="15">
        <v>795</v>
      </c>
      <c r="F454" s="2">
        <v>5</v>
      </c>
      <c r="G454" s="15">
        <f>SalesData!$E454*SalesData!$F454</f>
        <v>3975</v>
      </c>
    </row>
    <row r="455" spans="1:7" x14ac:dyDescent="0.35">
      <c r="A455" s="16" t="s">
        <v>465</v>
      </c>
      <c r="B455" s="17">
        <v>45212</v>
      </c>
      <c r="C455" s="3" t="s">
        <v>31</v>
      </c>
      <c r="D455" s="3" t="s">
        <v>17</v>
      </c>
      <c r="E455" s="18">
        <v>17020</v>
      </c>
      <c r="F455" s="3">
        <v>10</v>
      </c>
      <c r="G455" s="18">
        <f>SalesData!$E455*SalesData!$F455</f>
        <v>170200</v>
      </c>
    </row>
    <row r="456" spans="1:7" x14ac:dyDescent="0.35">
      <c r="A456" s="13" t="s">
        <v>466</v>
      </c>
      <c r="B456" s="14">
        <v>45216</v>
      </c>
      <c r="C456" s="2" t="s">
        <v>31</v>
      </c>
      <c r="D456" s="2" t="s">
        <v>20</v>
      </c>
      <c r="E456" s="15">
        <v>5722</v>
      </c>
      <c r="F456" s="2">
        <v>5</v>
      </c>
      <c r="G456" s="15">
        <f>SalesData!$E456*SalesData!$F456</f>
        <v>28610</v>
      </c>
    </row>
    <row r="457" spans="1:7" x14ac:dyDescent="0.35">
      <c r="A457" s="16" t="s">
        <v>467</v>
      </c>
      <c r="B457" s="17">
        <v>44972</v>
      </c>
      <c r="C457" s="3" t="s">
        <v>14</v>
      </c>
      <c r="D457" s="3" t="s">
        <v>17</v>
      </c>
      <c r="E457" s="18">
        <v>20782</v>
      </c>
      <c r="F457" s="3">
        <v>9</v>
      </c>
      <c r="G457" s="18">
        <f>SalesData!$E457*SalesData!$F457</f>
        <v>187038</v>
      </c>
    </row>
    <row r="458" spans="1:7" x14ac:dyDescent="0.35">
      <c r="A458" s="13" t="s">
        <v>468</v>
      </c>
      <c r="B458" s="14">
        <v>45047</v>
      </c>
      <c r="C458" s="2" t="s">
        <v>14</v>
      </c>
      <c r="D458" s="2" t="s">
        <v>23</v>
      </c>
      <c r="E458" s="15">
        <v>2993</v>
      </c>
      <c r="F458" s="2">
        <v>3</v>
      </c>
      <c r="G458" s="15">
        <f>SalesData!$E458*SalesData!$F458</f>
        <v>8979</v>
      </c>
    </row>
    <row r="459" spans="1:7" x14ac:dyDescent="0.35">
      <c r="A459" s="16" t="s">
        <v>469</v>
      </c>
      <c r="B459" s="17">
        <v>45199</v>
      </c>
      <c r="C459" s="3" t="s">
        <v>14</v>
      </c>
      <c r="D459" s="3" t="s">
        <v>20</v>
      </c>
      <c r="E459" s="18">
        <v>3735</v>
      </c>
      <c r="F459" s="3">
        <v>1</v>
      </c>
      <c r="G459" s="18">
        <f>SalesData!$E459*SalesData!$F459</f>
        <v>3735</v>
      </c>
    </row>
    <row r="460" spans="1:7" x14ac:dyDescent="0.35">
      <c r="A460" s="13" t="s">
        <v>470</v>
      </c>
      <c r="B460" s="14">
        <v>44949</v>
      </c>
      <c r="C460" s="2" t="s">
        <v>16</v>
      </c>
      <c r="D460" s="2" t="s">
        <v>20</v>
      </c>
      <c r="E460" s="15">
        <v>48785</v>
      </c>
      <c r="F460" s="2">
        <v>2</v>
      </c>
      <c r="G460" s="15">
        <f>SalesData!$E460*SalesData!$F460</f>
        <v>97570</v>
      </c>
    </row>
    <row r="461" spans="1:7" x14ac:dyDescent="0.35">
      <c r="A461" s="16" t="s">
        <v>471</v>
      </c>
      <c r="B461" s="17">
        <v>45290</v>
      </c>
      <c r="C461" s="3" t="s">
        <v>89</v>
      </c>
      <c r="D461" s="3" t="s">
        <v>20</v>
      </c>
      <c r="E461" s="18">
        <v>45910</v>
      </c>
      <c r="F461" s="3">
        <v>10</v>
      </c>
      <c r="G461" s="18">
        <f>SalesData!$E461*SalesData!$F461</f>
        <v>459100</v>
      </c>
    </row>
    <row r="462" spans="1:7" x14ac:dyDescent="0.35">
      <c r="A462" s="13" t="s">
        <v>472</v>
      </c>
      <c r="B462" s="14">
        <v>45198</v>
      </c>
      <c r="C462" s="2" t="s">
        <v>16</v>
      </c>
      <c r="D462" s="2" t="s">
        <v>25</v>
      </c>
      <c r="E462" s="15">
        <v>25273</v>
      </c>
      <c r="F462" s="2">
        <v>8</v>
      </c>
      <c r="G462" s="15">
        <f>SalesData!$E462*SalesData!$F462</f>
        <v>202184</v>
      </c>
    </row>
    <row r="463" spans="1:7" x14ac:dyDescent="0.35">
      <c r="A463" s="16" t="s">
        <v>473</v>
      </c>
      <c r="B463" s="17">
        <v>45097</v>
      </c>
      <c r="C463" s="3" t="s">
        <v>89</v>
      </c>
      <c r="D463" s="3" t="s">
        <v>29</v>
      </c>
      <c r="E463" s="18">
        <v>34230</v>
      </c>
      <c r="F463" s="3">
        <v>5</v>
      </c>
      <c r="G463" s="18">
        <f>SalesData!$E463*SalesData!$F463</f>
        <v>171150</v>
      </c>
    </row>
    <row r="464" spans="1:7" x14ac:dyDescent="0.35">
      <c r="A464" s="13" t="s">
        <v>474</v>
      </c>
      <c r="B464" s="14">
        <v>45048</v>
      </c>
      <c r="C464" s="2" t="s">
        <v>14</v>
      </c>
      <c r="D464" s="2" t="s">
        <v>25</v>
      </c>
      <c r="E464" s="15">
        <v>19963</v>
      </c>
      <c r="F464" s="2">
        <v>3</v>
      </c>
      <c r="G464" s="15">
        <f>SalesData!$E464*SalesData!$F464</f>
        <v>59889</v>
      </c>
    </row>
    <row r="465" spans="1:7" x14ac:dyDescent="0.35">
      <c r="A465" s="16" t="s">
        <v>475</v>
      </c>
      <c r="B465" s="17">
        <v>45027</v>
      </c>
      <c r="C465" s="3" t="s">
        <v>89</v>
      </c>
      <c r="D465" s="3" t="s">
        <v>20</v>
      </c>
      <c r="E465" s="18">
        <v>29920</v>
      </c>
      <c r="F465" s="3">
        <v>3</v>
      </c>
      <c r="G465" s="18">
        <f>SalesData!$E465*SalesData!$F465</f>
        <v>89760</v>
      </c>
    </row>
    <row r="466" spans="1:7" x14ac:dyDescent="0.35">
      <c r="A466" s="13" t="s">
        <v>476</v>
      </c>
      <c r="B466" s="14">
        <v>44974</v>
      </c>
      <c r="C466" s="2" t="s">
        <v>89</v>
      </c>
      <c r="D466" s="2" t="s">
        <v>25</v>
      </c>
      <c r="E466" s="15">
        <v>11605</v>
      </c>
      <c r="F466" s="2">
        <v>10</v>
      </c>
      <c r="G466" s="15">
        <f>SalesData!$E466*SalesData!$F466</f>
        <v>116050</v>
      </c>
    </row>
    <row r="467" spans="1:7" x14ac:dyDescent="0.35">
      <c r="A467" s="16" t="s">
        <v>477</v>
      </c>
      <c r="B467" s="17">
        <v>45121</v>
      </c>
      <c r="C467" s="3" t="s">
        <v>16</v>
      </c>
      <c r="D467" s="3" t="s">
        <v>23</v>
      </c>
      <c r="E467" s="18">
        <v>11130</v>
      </c>
      <c r="F467" s="3">
        <v>5</v>
      </c>
      <c r="G467" s="18">
        <f>SalesData!$E467*SalesData!$F467</f>
        <v>55650</v>
      </c>
    </row>
    <row r="468" spans="1:7" x14ac:dyDescent="0.35">
      <c r="A468" s="13" t="s">
        <v>478</v>
      </c>
      <c r="B468" s="14">
        <v>45005</v>
      </c>
      <c r="C468" s="2" t="s">
        <v>14</v>
      </c>
      <c r="D468" s="2" t="s">
        <v>17</v>
      </c>
      <c r="E468" s="15">
        <v>29816</v>
      </c>
      <c r="F468" s="2">
        <v>7</v>
      </c>
      <c r="G468" s="15">
        <f>SalesData!$E468*SalesData!$F468</f>
        <v>208712</v>
      </c>
    </row>
    <row r="469" spans="1:7" x14ac:dyDescent="0.35">
      <c r="A469" s="13" t="s">
        <v>479</v>
      </c>
      <c r="B469" s="14">
        <v>45154</v>
      </c>
      <c r="C469" s="2" t="s">
        <v>31</v>
      </c>
      <c r="D469" s="2" t="s">
        <v>25</v>
      </c>
      <c r="E469" s="15">
        <v>12590</v>
      </c>
      <c r="F469" s="2">
        <v>6</v>
      </c>
      <c r="G469" s="15">
        <f>SalesData!$E469*SalesData!$F469</f>
        <v>75540</v>
      </c>
    </row>
    <row r="470" spans="1:7" x14ac:dyDescent="0.35">
      <c r="A470" s="16" t="s">
        <v>480</v>
      </c>
      <c r="B470" s="17">
        <v>45060</v>
      </c>
      <c r="C470" s="3" t="s">
        <v>14</v>
      </c>
      <c r="D470" s="3" t="s">
        <v>20</v>
      </c>
      <c r="E470" s="18">
        <v>15373</v>
      </c>
      <c r="F470" s="3">
        <v>8</v>
      </c>
      <c r="G470" s="18">
        <f>SalesData!$E470*SalesData!$F470</f>
        <v>122984</v>
      </c>
    </row>
    <row r="471" spans="1:7" x14ac:dyDescent="0.35">
      <c r="A471" s="13" t="s">
        <v>481</v>
      </c>
      <c r="B471" s="14">
        <v>45210</v>
      </c>
      <c r="C471" s="2" t="s">
        <v>89</v>
      </c>
      <c r="D471" s="2" t="s">
        <v>20</v>
      </c>
      <c r="E471" s="15">
        <v>18115</v>
      </c>
      <c r="F471" s="2">
        <v>8</v>
      </c>
      <c r="G471" s="15">
        <f>SalesData!$E471*SalesData!$F471</f>
        <v>144920</v>
      </c>
    </row>
    <row r="472" spans="1:7" x14ac:dyDescent="0.35">
      <c r="A472" s="16" t="s">
        <v>482</v>
      </c>
      <c r="B472" s="17">
        <v>45143</v>
      </c>
      <c r="C472" s="3" t="s">
        <v>89</v>
      </c>
      <c r="D472" s="3" t="s">
        <v>29</v>
      </c>
      <c r="E472" s="18">
        <v>32197</v>
      </c>
      <c r="F472" s="3">
        <v>3</v>
      </c>
      <c r="G472" s="18">
        <f>SalesData!$E472*SalesData!$F472</f>
        <v>96591</v>
      </c>
    </row>
    <row r="473" spans="1:7" x14ac:dyDescent="0.35">
      <c r="A473" s="13" t="s">
        <v>483</v>
      </c>
      <c r="B473" s="14">
        <v>45247</v>
      </c>
      <c r="C473" s="2" t="s">
        <v>89</v>
      </c>
      <c r="D473" s="2" t="s">
        <v>29</v>
      </c>
      <c r="E473" s="15">
        <v>21544</v>
      </c>
      <c r="F473" s="2">
        <v>10</v>
      </c>
      <c r="G473" s="15">
        <f>SalesData!$E473*SalesData!$F473</f>
        <v>215440</v>
      </c>
    </row>
    <row r="474" spans="1:7" x14ac:dyDescent="0.35">
      <c r="A474" s="16" t="s">
        <v>484</v>
      </c>
      <c r="B474" s="17">
        <v>44950</v>
      </c>
      <c r="C474" s="3" t="s">
        <v>31</v>
      </c>
      <c r="D474" s="3" t="s">
        <v>29</v>
      </c>
      <c r="E474" s="18">
        <v>40030</v>
      </c>
      <c r="F474" s="3">
        <v>6</v>
      </c>
      <c r="G474" s="18">
        <f>SalesData!$E474*SalesData!$F474</f>
        <v>240180</v>
      </c>
    </row>
    <row r="475" spans="1:7" x14ac:dyDescent="0.35">
      <c r="A475" s="13" t="s">
        <v>485</v>
      </c>
      <c r="B475" s="14">
        <v>44974</v>
      </c>
      <c r="C475" s="2" t="s">
        <v>14</v>
      </c>
      <c r="D475" s="2" t="s">
        <v>23</v>
      </c>
      <c r="E475" s="15">
        <v>1638</v>
      </c>
      <c r="F475" s="2">
        <v>9</v>
      </c>
      <c r="G475" s="15">
        <f>SalesData!$E475*SalesData!$F475</f>
        <v>14742</v>
      </c>
    </row>
    <row r="476" spans="1:7" x14ac:dyDescent="0.35">
      <c r="A476" s="16" t="s">
        <v>486</v>
      </c>
      <c r="B476" s="17">
        <v>45152</v>
      </c>
      <c r="C476" s="3" t="s">
        <v>14</v>
      </c>
      <c r="D476" s="3" t="s">
        <v>29</v>
      </c>
      <c r="E476" s="18">
        <v>10232</v>
      </c>
      <c r="F476" s="3">
        <v>9</v>
      </c>
      <c r="G476" s="18">
        <f>SalesData!$E476*SalesData!$F476</f>
        <v>92088</v>
      </c>
    </row>
    <row r="477" spans="1:7" x14ac:dyDescent="0.35">
      <c r="A477" s="13" t="s">
        <v>487</v>
      </c>
      <c r="B477" s="14">
        <v>44945</v>
      </c>
      <c r="C477" s="2" t="s">
        <v>89</v>
      </c>
      <c r="D477" s="2" t="s">
        <v>20</v>
      </c>
      <c r="E477" s="15">
        <v>7859</v>
      </c>
      <c r="F477" s="2">
        <v>3</v>
      </c>
      <c r="G477" s="15">
        <f>SalesData!$E477*SalesData!$F477</f>
        <v>23577</v>
      </c>
    </row>
    <row r="478" spans="1:7" x14ac:dyDescent="0.35">
      <c r="A478" s="16" t="s">
        <v>487</v>
      </c>
      <c r="B478" s="17">
        <v>44945</v>
      </c>
      <c r="C478" s="3" t="s">
        <v>89</v>
      </c>
      <c r="D478" s="3" t="s">
        <v>20</v>
      </c>
      <c r="E478" s="18">
        <v>7859</v>
      </c>
      <c r="F478" s="3">
        <v>3</v>
      </c>
      <c r="G478" s="18">
        <f>SalesData!$E478*SalesData!$F478</f>
        <v>23577</v>
      </c>
    </row>
    <row r="479" spans="1:7" x14ac:dyDescent="0.35">
      <c r="A479" s="13" t="s">
        <v>488</v>
      </c>
      <c r="B479" s="14">
        <v>45004</v>
      </c>
      <c r="C479" s="2" t="s">
        <v>14</v>
      </c>
      <c r="D479" s="2" t="s">
        <v>17</v>
      </c>
      <c r="E479" s="15">
        <v>25239</v>
      </c>
      <c r="F479" s="2">
        <v>5</v>
      </c>
      <c r="G479" s="15">
        <f>SalesData!$E479*SalesData!$F479</f>
        <v>126195</v>
      </c>
    </row>
    <row r="480" spans="1:7" x14ac:dyDescent="0.35">
      <c r="A480" s="16" t="s">
        <v>489</v>
      </c>
      <c r="B480" s="17">
        <v>45169</v>
      </c>
      <c r="C480" s="3" t="s">
        <v>89</v>
      </c>
      <c r="D480" s="3" t="s">
        <v>17</v>
      </c>
      <c r="E480" s="18">
        <v>27068</v>
      </c>
      <c r="F480" s="3">
        <v>6</v>
      </c>
      <c r="G480" s="18">
        <f>SalesData!$E480*SalesData!$F480</f>
        <v>162408</v>
      </c>
    </row>
    <row r="481" spans="1:7" x14ac:dyDescent="0.35">
      <c r="A481" s="13" t="s">
        <v>490</v>
      </c>
      <c r="B481" s="14">
        <v>45175</v>
      </c>
      <c r="C481" s="2" t="s">
        <v>31</v>
      </c>
      <c r="D481" s="2" t="s">
        <v>20</v>
      </c>
      <c r="E481" s="15">
        <v>10910</v>
      </c>
      <c r="F481" s="2">
        <v>10</v>
      </c>
      <c r="G481" s="15">
        <f>SalesData!$E481*SalesData!$F481</f>
        <v>109100</v>
      </c>
    </row>
    <row r="482" spans="1:7" x14ac:dyDescent="0.35">
      <c r="A482" s="16" t="s">
        <v>491</v>
      </c>
      <c r="B482" s="17">
        <v>44931</v>
      </c>
      <c r="C482" s="3" t="s">
        <v>89</v>
      </c>
      <c r="D482" s="3" t="s">
        <v>23</v>
      </c>
      <c r="E482" s="18">
        <v>10995</v>
      </c>
      <c r="F482" s="3">
        <v>7</v>
      </c>
      <c r="G482" s="18">
        <f>SalesData!$E482*SalesData!$F482</f>
        <v>76965</v>
      </c>
    </row>
    <row r="483" spans="1:7" x14ac:dyDescent="0.35">
      <c r="A483" s="13" t="s">
        <v>492</v>
      </c>
      <c r="B483" s="14">
        <v>44977</v>
      </c>
      <c r="C483" s="2" t="s">
        <v>14</v>
      </c>
      <c r="D483" s="2" t="s">
        <v>23</v>
      </c>
      <c r="E483" s="15">
        <v>37036</v>
      </c>
      <c r="F483" s="2">
        <v>9</v>
      </c>
      <c r="G483" s="15">
        <f>SalesData!$E483*SalesData!$F483</f>
        <v>333324</v>
      </c>
    </row>
    <row r="484" spans="1:7" x14ac:dyDescent="0.35">
      <c r="A484" s="16" t="s">
        <v>493</v>
      </c>
      <c r="B484" s="17">
        <v>44949</v>
      </c>
      <c r="C484" s="3" t="s">
        <v>14</v>
      </c>
      <c r="D484" s="3" t="s">
        <v>20</v>
      </c>
      <c r="E484" s="18">
        <v>27602</v>
      </c>
      <c r="F484" s="3">
        <v>7</v>
      </c>
      <c r="G484" s="18">
        <f>SalesData!$E484*SalesData!$F484</f>
        <v>193214</v>
      </c>
    </row>
    <row r="485" spans="1:7" x14ac:dyDescent="0.35">
      <c r="A485" s="13" t="s">
        <v>494</v>
      </c>
      <c r="B485" s="14">
        <v>45061</v>
      </c>
      <c r="C485" s="2" t="s">
        <v>16</v>
      </c>
      <c r="D485" s="2" t="s">
        <v>23</v>
      </c>
      <c r="E485" s="15">
        <v>22528</v>
      </c>
      <c r="F485" s="2">
        <v>1</v>
      </c>
      <c r="G485" s="15">
        <f>SalesData!$E485*SalesData!$F485</f>
        <v>22528</v>
      </c>
    </row>
    <row r="486" spans="1:7" x14ac:dyDescent="0.35">
      <c r="A486" s="16" t="s">
        <v>495</v>
      </c>
      <c r="B486" s="17">
        <v>45285</v>
      </c>
      <c r="C486" s="3" t="s">
        <v>89</v>
      </c>
      <c r="D486" s="3" t="s">
        <v>17</v>
      </c>
      <c r="E486" s="18">
        <v>7601</v>
      </c>
      <c r="F486" s="3">
        <v>4</v>
      </c>
      <c r="G486" s="18">
        <f>SalesData!$E486*SalesData!$F486</f>
        <v>30404</v>
      </c>
    </row>
    <row r="487" spans="1:7" x14ac:dyDescent="0.35">
      <c r="A487" s="13" t="s">
        <v>496</v>
      </c>
      <c r="B487" s="14">
        <v>45291</v>
      </c>
      <c r="C487" s="2" t="s">
        <v>89</v>
      </c>
      <c r="D487" s="2" t="s">
        <v>17</v>
      </c>
      <c r="E487" s="15">
        <v>47287</v>
      </c>
      <c r="F487" s="2">
        <v>4</v>
      </c>
      <c r="G487" s="15">
        <f>SalesData!$E487*SalesData!$F487</f>
        <v>189148</v>
      </c>
    </row>
    <row r="488" spans="1:7" x14ac:dyDescent="0.35">
      <c r="A488" s="16" t="s">
        <v>497</v>
      </c>
      <c r="B488" s="17">
        <v>44978</v>
      </c>
      <c r="C488" s="3" t="s">
        <v>14</v>
      </c>
      <c r="D488" s="3" t="s">
        <v>29</v>
      </c>
      <c r="E488" s="18">
        <v>25527</v>
      </c>
      <c r="F488" s="3">
        <v>9</v>
      </c>
      <c r="G488" s="18">
        <f>SalesData!$E488*SalesData!$F488</f>
        <v>229743</v>
      </c>
    </row>
    <row r="489" spans="1:7" x14ac:dyDescent="0.35">
      <c r="A489" s="13" t="s">
        <v>498</v>
      </c>
      <c r="B489" s="14">
        <v>45264</v>
      </c>
      <c r="C489" s="2" t="s">
        <v>16</v>
      </c>
      <c r="D489" s="2" t="s">
        <v>23</v>
      </c>
      <c r="E489" s="15">
        <v>17015</v>
      </c>
      <c r="F489" s="2">
        <v>5</v>
      </c>
      <c r="G489" s="15">
        <f>SalesData!$E489*SalesData!$F489</f>
        <v>85075</v>
      </c>
    </row>
    <row r="490" spans="1:7" x14ac:dyDescent="0.35">
      <c r="A490" s="16" t="s">
        <v>499</v>
      </c>
      <c r="B490" s="17">
        <v>45055</v>
      </c>
      <c r="C490" s="3" t="s">
        <v>16</v>
      </c>
      <c r="D490" s="3" t="s">
        <v>17</v>
      </c>
      <c r="E490" s="18">
        <v>14741</v>
      </c>
      <c r="F490" s="3">
        <v>10</v>
      </c>
      <c r="G490" s="18">
        <f>SalesData!$E490*SalesData!$F490</f>
        <v>147410</v>
      </c>
    </row>
    <row r="491" spans="1:7" x14ac:dyDescent="0.35">
      <c r="A491" s="13" t="s">
        <v>500</v>
      </c>
      <c r="B491" s="14">
        <v>45070</v>
      </c>
      <c r="C491" s="2" t="s">
        <v>31</v>
      </c>
      <c r="D491" s="2" t="s">
        <v>20</v>
      </c>
      <c r="E491" s="15">
        <v>19848</v>
      </c>
      <c r="F491" s="2">
        <v>9</v>
      </c>
      <c r="G491" s="15">
        <f>SalesData!$E491*SalesData!$F491</f>
        <v>178632</v>
      </c>
    </row>
    <row r="492" spans="1:7" x14ac:dyDescent="0.35">
      <c r="A492" s="16" t="s">
        <v>501</v>
      </c>
      <c r="B492" s="17">
        <v>44932</v>
      </c>
      <c r="C492" s="3" t="s">
        <v>14</v>
      </c>
      <c r="D492" s="3" t="s">
        <v>17</v>
      </c>
      <c r="E492" s="18">
        <v>7031</v>
      </c>
      <c r="F492" s="3">
        <v>4</v>
      </c>
      <c r="G492" s="18">
        <f>SalesData!$E492*SalesData!$F492</f>
        <v>28124</v>
      </c>
    </row>
    <row r="493" spans="1:7" x14ac:dyDescent="0.35">
      <c r="A493" s="13" t="s">
        <v>502</v>
      </c>
      <c r="B493" s="14">
        <v>44930</v>
      </c>
      <c r="C493" s="2" t="s">
        <v>16</v>
      </c>
      <c r="D493" s="2" t="s">
        <v>20</v>
      </c>
      <c r="E493" s="15">
        <v>6949</v>
      </c>
      <c r="F493" s="2">
        <v>1</v>
      </c>
      <c r="G493" s="15">
        <f>SalesData!$E493*SalesData!$F493</f>
        <v>6949</v>
      </c>
    </row>
    <row r="494" spans="1:7" x14ac:dyDescent="0.35">
      <c r="A494" s="16" t="s">
        <v>503</v>
      </c>
      <c r="B494" s="17">
        <v>45007</v>
      </c>
      <c r="C494" s="3" t="s">
        <v>31</v>
      </c>
      <c r="D494" s="3" t="s">
        <v>17</v>
      </c>
      <c r="E494" s="18">
        <v>39541</v>
      </c>
      <c r="F494" s="3">
        <v>5</v>
      </c>
      <c r="G494" s="18">
        <f>SalesData!$E494*SalesData!$F494</f>
        <v>197705</v>
      </c>
    </row>
    <row r="495" spans="1:7" x14ac:dyDescent="0.35">
      <c r="A495" s="13" t="s">
        <v>504</v>
      </c>
      <c r="B495" s="14">
        <v>45161</v>
      </c>
      <c r="C495" s="2" t="s">
        <v>31</v>
      </c>
      <c r="D495" s="2" t="s">
        <v>17</v>
      </c>
      <c r="E495" s="15">
        <v>2700</v>
      </c>
      <c r="F495" s="2">
        <v>5</v>
      </c>
      <c r="G495" s="15">
        <f>SalesData!$E495*SalesData!$F495</f>
        <v>13500</v>
      </c>
    </row>
    <row r="496" spans="1:7" x14ac:dyDescent="0.35">
      <c r="A496" s="16" t="s">
        <v>505</v>
      </c>
      <c r="B496" s="17">
        <v>45226</v>
      </c>
      <c r="C496" s="3" t="s">
        <v>16</v>
      </c>
      <c r="D496" s="3" t="s">
        <v>29</v>
      </c>
      <c r="E496" s="18">
        <v>19117</v>
      </c>
      <c r="F496" s="3">
        <v>10</v>
      </c>
      <c r="G496" s="18">
        <f>SalesData!$E496*SalesData!$F496</f>
        <v>191170</v>
      </c>
    </row>
    <row r="497" spans="1:7" x14ac:dyDescent="0.35">
      <c r="A497" s="13" t="s">
        <v>506</v>
      </c>
      <c r="B497" s="14">
        <v>45093</v>
      </c>
      <c r="C497" s="2" t="s">
        <v>31</v>
      </c>
      <c r="D497" s="2" t="s">
        <v>17</v>
      </c>
      <c r="E497" s="15">
        <v>45804</v>
      </c>
      <c r="F497" s="2">
        <v>4</v>
      </c>
      <c r="G497" s="15">
        <f>SalesData!$E497*SalesData!$F497</f>
        <v>183216</v>
      </c>
    </row>
    <row r="498" spans="1:7" x14ac:dyDescent="0.35">
      <c r="A498" s="16" t="s">
        <v>507</v>
      </c>
      <c r="B498" s="17">
        <v>44994</v>
      </c>
      <c r="C498" s="3" t="s">
        <v>31</v>
      </c>
      <c r="D498" s="3" t="s">
        <v>17</v>
      </c>
      <c r="E498" s="18">
        <v>5487</v>
      </c>
      <c r="F498" s="3">
        <v>6</v>
      </c>
      <c r="G498" s="18">
        <f>SalesData!$E498*SalesData!$F498</f>
        <v>32922</v>
      </c>
    </row>
    <row r="499" spans="1:7" x14ac:dyDescent="0.35">
      <c r="A499" s="13" t="s">
        <v>508</v>
      </c>
      <c r="B499" s="14">
        <v>45208</v>
      </c>
      <c r="C499" s="2" t="s">
        <v>16</v>
      </c>
      <c r="D499" s="2" t="s">
        <v>23</v>
      </c>
      <c r="E499" s="15">
        <v>20193</v>
      </c>
      <c r="F499" s="2">
        <v>5</v>
      </c>
      <c r="G499" s="15">
        <f>SalesData!$E499*SalesData!$F499</f>
        <v>100965</v>
      </c>
    </row>
    <row r="500" spans="1:7" x14ac:dyDescent="0.35">
      <c r="A500" s="16" t="s">
        <v>509</v>
      </c>
      <c r="B500" s="17">
        <v>45193</v>
      </c>
      <c r="C500" s="3" t="s">
        <v>14</v>
      </c>
      <c r="D500" s="3" t="s">
        <v>20</v>
      </c>
      <c r="E500" s="18">
        <v>11618</v>
      </c>
      <c r="F500" s="3">
        <v>9</v>
      </c>
      <c r="G500" s="18">
        <f>SalesData!$E500*SalesData!$F500</f>
        <v>104562</v>
      </c>
    </row>
    <row r="501" spans="1:7" x14ac:dyDescent="0.35">
      <c r="A501" s="13" t="s">
        <v>510</v>
      </c>
      <c r="B501" s="14">
        <v>45030</v>
      </c>
      <c r="C501" s="2" t="s">
        <v>14</v>
      </c>
      <c r="D501" s="2" t="s">
        <v>25</v>
      </c>
      <c r="E501" s="15">
        <v>13361</v>
      </c>
      <c r="F501" s="2">
        <v>4</v>
      </c>
      <c r="G501" s="15">
        <f>SalesData!$E501*SalesData!$F501</f>
        <v>53444</v>
      </c>
    </row>
    <row r="502" spans="1:7" x14ac:dyDescent="0.35">
      <c r="A502" s="16" t="s">
        <v>511</v>
      </c>
      <c r="B502" s="17">
        <v>45127</v>
      </c>
      <c r="C502" s="3" t="s">
        <v>31</v>
      </c>
      <c r="D502" s="3" t="s">
        <v>17</v>
      </c>
      <c r="E502" s="18">
        <v>4150</v>
      </c>
      <c r="F502" s="3">
        <v>7</v>
      </c>
      <c r="G502" s="18">
        <f>SalesData!$E502*SalesData!$F502</f>
        <v>29050</v>
      </c>
    </row>
    <row r="503" spans="1:7" x14ac:dyDescent="0.35">
      <c r="A503" s="13" t="s">
        <v>512</v>
      </c>
      <c r="B503" s="14">
        <v>44929</v>
      </c>
      <c r="C503" s="2" t="s">
        <v>16</v>
      </c>
      <c r="D503" s="2" t="s">
        <v>29</v>
      </c>
      <c r="E503" s="15">
        <v>3696</v>
      </c>
      <c r="F503" s="2">
        <v>8</v>
      </c>
      <c r="G503" s="15">
        <f>SalesData!$E503*SalesData!$F503</f>
        <v>29568</v>
      </c>
    </row>
    <row r="504" spans="1:7" x14ac:dyDescent="0.35">
      <c r="A504" s="16" t="s">
        <v>513</v>
      </c>
      <c r="B504" s="17">
        <v>45187</v>
      </c>
      <c r="C504" s="3" t="s">
        <v>89</v>
      </c>
      <c r="D504" s="3" t="s">
        <v>17</v>
      </c>
      <c r="E504" s="18">
        <v>46548</v>
      </c>
      <c r="F504" s="3">
        <v>2</v>
      </c>
      <c r="G504" s="18">
        <f>SalesData!$E504*SalesData!$F504</f>
        <v>93096</v>
      </c>
    </row>
    <row r="505" spans="1:7" x14ac:dyDescent="0.35">
      <c r="A505" s="13" t="s">
        <v>514</v>
      </c>
      <c r="B505" s="14">
        <v>45216</v>
      </c>
      <c r="C505" s="2" t="s">
        <v>31</v>
      </c>
      <c r="D505" s="2" t="s">
        <v>25</v>
      </c>
      <c r="E505" s="15">
        <v>11632</v>
      </c>
      <c r="F505" s="2">
        <v>6</v>
      </c>
      <c r="G505" s="15">
        <f>SalesData!$E505*SalesData!$F505</f>
        <v>69792</v>
      </c>
    </row>
    <row r="506" spans="1:7" x14ac:dyDescent="0.35">
      <c r="A506" s="16" t="s">
        <v>515</v>
      </c>
      <c r="B506" s="17">
        <v>45100</v>
      </c>
      <c r="C506" s="3" t="s">
        <v>16</v>
      </c>
      <c r="D506" s="3" t="s">
        <v>20</v>
      </c>
      <c r="E506" s="18">
        <v>47702</v>
      </c>
      <c r="F506" s="3">
        <v>6</v>
      </c>
      <c r="G506" s="18">
        <f>SalesData!$E506*SalesData!$F506</f>
        <v>286212</v>
      </c>
    </row>
    <row r="507" spans="1:7" x14ac:dyDescent="0.35">
      <c r="A507" s="13" t="s">
        <v>516</v>
      </c>
      <c r="B507" s="14">
        <v>45091</v>
      </c>
      <c r="C507" s="2" t="s">
        <v>89</v>
      </c>
      <c r="D507" s="2" t="s">
        <v>23</v>
      </c>
      <c r="E507" s="15">
        <v>4830</v>
      </c>
      <c r="F507" s="2">
        <v>2</v>
      </c>
      <c r="G507" s="15">
        <f>SalesData!$E507*SalesData!$F507</f>
        <v>9660</v>
      </c>
    </row>
    <row r="508" spans="1:7" x14ac:dyDescent="0.35">
      <c r="A508" s="16" t="s">
        <v>517</v>
      </c>
      <c r="B508" s="17">
        <v>45245</v>
      </c>
      <c r="C508" s="3" t="s">
        <v>89</v>
      </c>
      <c r="D508" s="3" t="s">
        <v>29</v>
      </c>
      <c r="E508" s="18">
        <v>26827</v>
      </c>
      <c r="F508" s="3">
        <v>10</v>
      </c>
      <c r="G508" s="18">
        <f>SalesData!$E508*SalesData!$F508</f>
        <v>268270</v>
      </c>
    </row>
    <row r="509" spans="1:7" x14ac:dyDescent="0.35">
      <c r="A509" s="13" t="s">
        <v>518</v>
      </c>
      <c r="B509" s="14">
        <v>45185</v>
      </c>
      <c r="C509" s="2" t="s">
        <v>14</v>
      </c>
      <c r="D509" s="2" t="s">
        <v>17</v>
      </c>
      <c r="E509" s="15">
        <v>8407</v>
      </c>
      <c r="F509" s="2">
        <v>6</v>
      </c>
      <c r="G509" s="15">
        <f>SalesData!$E509*SalesData!$F509</f>
        <v>50442</v>
      </c>
    </row>
    <row r="510" spans="1:7" x14ac:dyDescent="0.35">
      <c r="A510" s="16" t="s">
        <v>519</v>
      </c>
      <c r="B510" s="17">
        <v>45282</v>
      </c>
      <c r="C510" s="3" t="s">
        <v>89</v>
      </c>
      <c r="D510" s="3" t="s">
        <v>20</v>
      </c>
      <c r="E510" s="18">
        <v>4188</v>
      </c>
      <c r="F510" s="3">
        <v>10</v>
      </c>
      <c r="G510" s="18">
        <f>SalesData!$E510*SalesData!$F510</f>
        <v>41880</v>
      </c>
    </row>
    <row r="511" spans="1:7" x14ac:dyDescent="0.35">
      <c r="A511" s="13" t="s">
        <v>520</v>
      </c>
      <c r="B511" s="14">
        <v>45249</v>
      </c>
      <c r="C511" s="2" t="s">
        <v>89</v>
      </c>
      <c r="D511" s="2" t="s">
        <v>20</v>
      </c>
      <c r="E511" s="15">
        <v>22033</v>
      </c>
      <c r="F511" s="2">
        <v>3</v>
      </c>
      <c r="G511" s="15">
        <f>SalesData!$E511*SalesData!$F511</f>
        <v>66099</v>
      </c>
    </row>
    <row r="512" spans="1:7" x14ac:dyDescent="0.35">
      <c r="A512" s="16" t="s">
        <v>521</v>
      </c>
      <c r="B512" s="17">
        <v>45272</v>
      </c>
      <c r="C512" s="3" t="s">
        <v>16</v>
      </c>
      <c r="D512" s="3" t="s">
        <v>25</v>
      </c>
      <c r="E512" s="18">
        <v>31519</v>
      </c>
      <c r="F512" s="3">
        <v>5</v>
      </c>
      <c r="G512" s="18">
        <f>SalesData!$E512*SalesData!$F512</f>
        <v>157595</v>
      </c>
    </row>
    <row r="513" spans="1:7" x14ac:dyDescent="0.35">
      <c r="A513" s="13" t="s">
        <v>522</v>
      </c>
      <c r="B513" s="14">
        <v>45140</v>
      </c>
      <c r="C513" s="2" t="s">
        <v>89</v>
      </c>
      <c r="D513" s="2" t="s">
        <v>23</v>
      </c>
      <c r="E513" s="15">
        <v>5883</v>
      </c>
      <c r="F513" s="2">
        <v>9</v>
      </c>
      <c r="G513" s="15">
        <f>SalesData!$E513*SalesData!$F513</f>
        <v>52947</v>
      </c>
    </row>
    <row r="514" spans="1:7" x14ac:dyDescent="0.35">
      <c r="A514" s="16" t="s">
        <v>523</v>
      </c>
      <c r="B514" s="17">
        <v>44946</v>
      </c>
      <c r="C514" s="3" t="s">
        <v>16</v>
      </c>
      <c r="D514" s="3" t="s">
        <v>25</v>
      </c>
      <c r="E514" s="18">
        <v>38518</v>
      </c>
      <c r="F514" s="3">
        <v>10</v>
      </c>
      <c r="G514" s="18">
        <f>SalesData!$E514*SalesData!$F514</f>
        <v>385180</v>
      </c>
    </row>
    <row r="515" spans="1:7" x14ac:dyDescent="0.35">
      <c r="A515" s="13" t="s">
        <v>524</v>
      </c>
      <c r="B515" s="14">
        <v>44942</v>
      </c>
      <c r="C515" s="2" t="s">
        <v>16</v>
      </c>
      <c r="D515" s="2" t="s">
        <v>17</v>
      </c>
      <c r="E515" s="15">
        <v>19360</v>
      </c>
      <c r="F515" s="2">
        <v>3</v>
      </c>
      <c r="G515" s="15">
        <f>SalesData!$E515*SalesData!$F515</f>
        <v>58080</v>
      </c>
    </row>
    <row r="516" spans="1:7" x14ac:dyDescent="0.35">
      <c r="A516" s="16" t="s">
        <v>525</v>
      </c>
      <c r="B516" s="17">
        <v>45158</v>
      </c>
      <c r="C516" s="3" t="s">
        <v>31</v>
      </c>
      <c r="D516" s="3" t="s">
        <v>29</v>
      </c>
      <c r="E516" s="18">
        <v>47940</v>
      </c>
      <c r="F516" s="3">
        <v>10</v>
      </c>
      <c r="G516" s="18">
        <f>SalesData!$E516*SalesData!$F516</f>
        <v>479400</v>
      </c>
    </row>
    <row r="517" spans="1:7" x14ac:dyDescent="0.35">
      <c r="A517" s="13" t="s">
        <v>526</v>
      </c>
      <c r="B517" s="14">
        <v>45234</v>
      </c>
      <c r="C517" s="2" t="s">
        <v>14</v>
      </c>
      <c r="D517" s="2" t="s">
        <v>29</v>
      </c>
      <c r="E517" s="15">
        <v>42517</v>
      </c>
      <c r="F517" s="2">
        <v>9</v>
      </c>
      <c r="G517" s="15">
        <f>SalesData!$E517*SalesData!$F517</f>
        <v>382653</v>
      </c>
    </row>
    <row r="518" spans="1:7" x14ac:dyDescent="0.35">
      <c r="A518" s="16" t="s">
        <v>527</v>
      </c>
      <c r="B518" s="17">
        <v>45124</v>
      </c>
      <c r="C518" s="3" t="s">
        <v>16</v>
      </c>
      <c r="D518" s="3" t="s">
        <v>23</v>
      </c>
      <c r="E518" s="18">
        <v>35474</v>
      </c>
      <c r="F518" s="3">
        <v>8</v>
      </c>
      <c r="G518" s="18">
        <f>SalesData!$E518*SalesData!$F518</f>
        <v>283792</v>
      </c>
    </row>
    <row r="519" spans="1:7" x14ac:dyDescent="0.35">
      <c r="A519" s="13" t="s">
        <v>527</v>
      </c>
      <c r="B519" s="14">
        <v>45124</v>
      </c>
      <c r="C519" s="2" t="s">
        <v>16</v>
      </c>
      <c r="D519" s="2" t="s">
        <v>23</v>
      </c>
      <c r="E519" s="15">
        <v>35474</v>
      </c>
      <c r="F519" s="2">
        <v>8</v>
      </c>
      <c r="G519" s="15">
        <f>SalesData!$E519*SalesData!$F519</f>
        <v>283792</v>
      </c>
    </row>
    <row r="520" spans="1:7" x14ac:dyDescent="0.35">
      <c r="A520" s="13" t="s">
        <v>528</v>
      </c>
      <c r="B520" s="14">
        <v>45008</v>
      </c>
      <c r="C520" s="2" t="s">
        <v>31</v>
      </c>
      <c r="D520" s="2" t="s">
        <v>25</v>
      </c>
      <c r="E520" s="15">
        <v>34571</v>
      </c>
      <c r="F520" s="2">
        <v>9</v>
      </c>
      <c r="G520" s="15">
        <f>SalesData!$E520*SalesData!$F520</f>
        <v>311139</v>
      </c>
    </row>
    <row r="521" spans="1:7" x14ac:dyDescent="0.35">
      <c r="A521" s="16" t="s">
        <v>529</v>
      </c>
      <c r="B521" s="17">
        <v>45136</v>
      </c>
      <c r="C521" s="3" t="s">
        <v>31</v>
      </c>
      <c r="D521" s="3" t="s">
        <v>17</v>
      </c>
      <c r="E521" s="18">
        <v>9446</v>
      </c>
      <c r="F521" s="3">
        <v>9</v>
      </c>
      <c r="G521" s="18">
        <f>SalesData!$E521*SalesData!$F521</f>
        <v>85014</v>
      </c>
    </row>
    <row r="522" spans="1:7" x14ac:dyDescent="0.35">
      <c r="A522" s="13" t="s">
        <v>530</v>
      </c>
      <c r="B522" s="14">
        <v>45066</v>
      </c>
      <c r="C522" s="2" t="s">
        <v>31</v>
      </c>
      <c r="D522" s="2" t="s">
        <v>23</v>
      </c>
      <c r="E522" s="15">
        <v>36822</v>
      </c>
      <c r="F522" s="2">
        <v>9</v>
      </c>
      <c r="G522" s="15">
        <f>SalesData!$E522*SalesData!$F522</f>
        <v>331398</v>
      </c>
    </row>
    <row r="523" spans="1:7" x14ac:dyDescent="0.35">
      <c r="A523" s="16" t="s">
        <v>531</v>
      </c>
      <c r="B523" s="17">
        <v>45118</v>
      </c>
      <c r="C523" s="3" t="s">
        <v>14</v>
      </c>
      <c r="D523" s="3" t="s">
        <v>20</v>
      </c>
      <c r="E523" s="18">
        <v>1696</v>
      </c>
      <c r="F523" s="3">
        <v>7</v>
      </c>
      <c r="G523" s="18">
        <f>SalesData!$E523*SalesData!$F523</f>
        <v>11872</v>
      </c>
    </row>
    <row r="524" spans="1:7" x14ac:dyDescent="0.35">
      <c r="A524" s="16" t="s">
        <v>532</v>
      </c>
      <c r="B524" s="17">
        <v>45161</v>
      </c>
      <c r="C524" s="3" t="s">
        <v>16</v>
      </c>
      <c r="D524" s="3" t="s">
        <v>23</v>
      </c>
      <c r="E524" s="18">
        <v>1878</v>
      </c>
      <c r="F524" s="3">
        <v>8</v>
      </c>
      <c r="G524" s="18">
        <f>SalesData!$E524*SalesData!$F524</f>
        <v>15024</v>
      </c>
    </row>
    <row r="525" spans="1:7" x14ac:dyDescent="0.35">
      <c r="A525" s="13" t="s">
        <v>533</v>
      </c>
      <c r="B525" s="14">
        <v>45270</v>
      </c>
      <c r="C525" s="2" t="s">
        <v>89</v>
      </c>
      <c r="D525" s="2" t="s">
        <v>23</v>
      </c>
      <c r="E525" s="15">
        <v>14478</v>
      </c>
      <c r="F525" s="2">
        <v>8</v>
      </c>
      <c r="G525" s="15">
        <f>SalesData!$E525*SalesData!$F525</f>
        <v>115824</v>
      </c>
    </row>
    <row r="526" spans="1:7" x14ac:dyDescent="0.35">
      <c r="A526" s="16" t="s">
        <v>534</v>
      </c>
      <c r="B526" s="17">
        <v>45217</v>
      </c>
      <c r="C526" s="3" t="s">
        <v>16</v>
      </c>
      <c r="D526" s="3" t="s">
        <v>23</v>
      </c>
      <c r="E526" s="18">
        <v>41276</v>
      </c>
      <c r="F526" s="3">
        <v>5</v>
      </c>
      <c r="G526" s="18">
        <f>SalesData!$E526*SalesData!$F526</f>
        <v>206380</v>
      </c>
    </row>
    <row r="527" spans="1:7" x14ac:dyDescent="0.35">
      <c r="A527" s="13" t="s">
        <v>535</v>
      </c>
      <c r="B527" s="14">
        <v>45250</v>
      </c>
      <c r="C527" s="2" t="s">
        <v>89</v>
      </c>
      <c r="D527" s="2" t="s">
        <v>17</v>
      </c>
      <c r="E527" s="15">
        <v>29645</v>
      </c>
      <c r="F527" s="2">
        <v>7</v>
      </c>
      <c r="G527" s="15">
        <f>SalesData!$E527*SalesData!$F527</f>
        <v>207515</v>
      </c>
    </row>
    <row r="528" spans="1:7" x14ac:dyDescent="0.35">
      <c r="A528" s="16" t="s">
        <v>536</v>
      </c>
      <c r="B528" s="17">
        <v>45225</v>
      </c>
      <c r="C528" s="3" t="s">
        <v>89</v>
      </c>
      <c r="D528" s="3" t="s">
        <v>25</v>
      </c>
      <c r="E528" s="18">
        <v>19315</v>
      </c>
      <c r="F528" s="3">
        <v>9</v>
      </c>
      <c r="G528" s="18">
        <f>SalesData!$E528*SalesData!$F528</f>
        <v>173835</v>
      </c>
    </row>
    <row r="529" spans="1:7" x14ac:dyDescent="0.35">
      <c r="A529" s="13" t="s">
        <v>537</v>
      </c>
      <c r="B529" s="14">
        <v>45119</v>
      </c>
      <c r="C529" s="2" t="s">
        <v>14</v>
      </c>
      <c r="D529" s="2" t="s">
        <v>20</v>
      </c>
      <c r="E529" s="15">
        <v>630</v>
      </c>
      <c r="F529" s="2">
        <v>10</v>
      </c>
      <c r="G529" s="15">
        <f>SalesData!$E529*SalesData!$F529</f>
        <v>6300</v>
      </c>
    </row>
    <row r="530" spans="1:7" x14ac:dyDescent="0.35">
      <c r="A530" s="16" t="s">
        <v>538</v>
      </c>
      <c r="B530" s="17">
        <v>45215</v>
      </c>
      <c r="C530" s="3" t="s">
        <v>16</v>
      </c>
      <c r="D530" s="3" t="s">
        <v>20</v>
      </c>
      <c r="E530" s="18">
        <v>20067</v>
      </c>
      <c r="F530" s="3">
        <v>3</v>
      </c>
      <c r="G530" s="18">
        <f>SalesData!$E530*SalesData!$F530</f>
        <v>60201</v>
      </c>
    </row>
    <row r="531" spans="1:7" x14ac:dyDescent="0.35">
      <c r="A531" s="13" t="s">
        <v>539</v>
      </c>
      <c r="B531" s="14">
        <v>45235</v>
      </c>
      <c r="C531" s="2" t="s">
        <v>16</v>
      </c>
      <c r="D531" s="2" t="s">
        <v>20</v>
      </c>
      <c r="E531" s="15">
        <v>25904</v>
      </c>
      <c r="F531" s="2">
        <v>9</v>
      </c>
      <c r="G531" s="15">
        <f>SalesData!$E531*SalesData!$F531</f>
        <v>233136</v>
      </c>
    </row>
    <row r="532" spans="1:7" x14ac:dyDescent="0.35">
      <c r="A532" s="16" t="s">
        <v>540</v>
      </c>
      <c r="B532" s="17">
        <v>45038</v>
      </c>
      <c r="C532" s="3" t="s">
        <v>16</v>
      </c>
      <c r="D532" s="3" t="s">
        <v>23</v>
      </c>
      <c r="E532" s="18">
        <v>1351</v>
      </c>
      <c r="F532" s="3">
        <v>3</v>
      </c>
      <c r="G532" s="18">
        <f>SalesData!$E532*SalesData!$F532</f>
        <v>4053</v>
      </c>
    </row>
    <row r="533" spans="1:7" x14ac:dyDescent="0.35">
      <c r="A533" s="16" t="s">
        <v>541</v>
      </c>
      <c r="B533" s="17">
        <v>44959</v>
      </c>
      <c r="C533" s="3" t="s">
        <v>16</v>
      </c>
      <c r="D533" s="3" t="s">
        <v>23</v>
      </c>
      <c r="E533" s="18">
        <v>8390</v>
      </c>
      <c r="F533" s="3">
        <v>1</v>
      </c>
      <c r="G533" s="18">
        <f>SalesData!$E533*SalesData!$F533</f>
        <v>8390</v>
      </c>
    </row>
    <row r="534" spans="1:7" x14ac:dyDescent="0.35">
      <c r="A534" s="13" t="s">
        <v>542</v>
      </c>
      <c r="B534" s="14">
        <v>45069</v>
      </c>
      <c r="C534" s="2" t="s">
        <v>16</v>
      </c>
      <c r="D534" s="2" t="s">
        <v>25</v>
      </c>
      <c r="E534" s="15">
        <v>8633</v>
      </c>
      <c r="F534" s="2">
        <v>3</v>
      </c>
      <c r="G534" s="15">
        <f>SalesData!$E534*SalesData!$F534</f>
        <v>25899</v>
      </c>
    </row>
    <row r="535" spans="1:7" x14ac:dyDescent="0.35">
      <c r="A535" s="13" t="s">
        <v>543</v>
      </c>
      <c r="B535" s="14">
        <v>45023</v>
      </c>
      <c r="C535" s="2" t="s">
        <v>14</v>
      </c>
      <c r="D535" s="2" t="s">
        <v>23</v>
      </c>
      <c r="E535" s="15">
        <v>25264</v>
      </c>
      <c r="F535" s="2">
        <v>6</v>
      </c>
      <c r="G535" s="15">
        <f>SalesData!$E535*SalesData!$F535</f>
        <v>151584</v>
      </c>
    </row>
    <row r="536" spans="1:7" x14ac:dyDescent="0.35">
      <c r="A536" s="16" t="s">
        <v>544</v>
      </c>
      <c r="B536" s="17">
        <v>45055</v>
      </c>
      <c r="C536" s="3" t="s">
        <v>89</v>
      </c>
      <c r="D536" s="3" t="s">
        <v>29</v>
      </c>
      <c r="E536" s="18">
        <v>23859</v>
      </c>
      <c r="F536" s="3">
        <v>4</v>
      </c>
      <c r="G536" s="18">
        <f>SalesData!$E536*SalesData!$F536</f>
        <v>95436</v>
      </c>
    </row>
    <row r="537" spans="1:7" x14ac:dyDescent="0.35">
      <c r="A537" s="13" t="s">
        <v>545</v>
      </c>
      <c r="B537" s="14">
        <v>45111</v>
      </c>
      <c r="C537" s="2" t="s">
        <v>89</v>
      </c>
      <c r="D537" s="2" t="s">
        <v>23</v>
      </c>
      <c r="E537" s="15">
        <v>48072</v>
      </c>
      <c r="F537" s="2">
        <v>10</v>
      </c>
      <c r="G537" s="15">
        <f>SalesData!$E537*SalesData!$F537</f>
        <v>480720</v>
      </c>
    </row>
    <row r="538" spans="1:7" x14ac:dyDescent="0.35">
      <c r="A538" s="16" t="s">
        <v>546</v>
      </c>
      <c r="B538" s="17">
        <v>45078</v>
      </c>
      <c r="C538" s="3" t="s">
        <v>16</v>
      </c>
      <c r="D538" s="3" t="s">
        <v>20</v>
      </c>
      <c r="E538" s="18">
        <v>24892</v>
      </c>
      <c r="F538" s="3">
        <v>1</v>
      </c>
      <c r="G538" s="18">
        <f>SalesData!$E538*SalesData!$F538</f>
        <v>24892</v>
      </c>
    </row>
    <row r="539" spans="1:7" x14ac:dyDescent="0.35">
      <c r="A539" s="13" t="s">
        <v>547</v>
      </c>
      <c r="B539" s="14">
        <v>45102</v>
      </c>
      <c r="C539" s="2" t="s">
        <v>31</v>
      </c>
      <c r="D539" s="2" t="s">
        <v>17</v>
      </c>
      <c r="E539" s="15">
        <v>25634</v>
      </c>
      <c r="F539" s="2">
        <v>10</v>
      </c>
      <c r="G539" s="15">
        <f>SalesData!$E539*SalesData!$F539</f>
        <v>256340</v>
      </c>
    </row>
    <row r="540" spans="1:7" x14ac:dyDescent="0.35">
      <c r="A540" s="16" t="s">
        <v>548</v>
      </c>
      <c r="B540" s="17">
        <v>45047</v>
      </c>
      <c r="C540" s="3" t="s">
        <v>16</v>
      </c>
      <c r="D540" s="3" t="s">
        <v>29</v>
      </c>
      <c r="E540" s="18">
        <v>17117</v>
      </c>
      <c r="F540" s="3">
        <v>3</v>
      </c>
      <c r="G540" s="18">
        <f>SalesData!$E540*SalesData!$F540</f>
        <v>51351</v>
      </c>
    </row>
    <row r="541" spans="1:7" x14ac:dyDescent="0.35">
      <c r="A541" s="13" t="s">
        <v>549</v>
      </c>
      <c r="B541" s="14">
        <v>45179</v>
      </c>
      <c r="C541" s="2" t="s">
        <v>31</v>
      </c>
      <c r="D541" s="2" t="s">
        <v>23</v>
      </c>
      <c r="E541" s="15">
        <v>24150</v>
      </c>
      <c r="F541" s="2">
        <v>1</v>
      </c>
      <c r="G541" s="15">
        <f>SalesData!$E541*SalesData!$F541</f>
        <v>24150</v>
      </c>
    </row>
    <row r="542" spans="1:7" x14ac:dyDescent="0.35">
      <c r="A542" s="16" t="s">
        <v>550</v>
      </c>
      <c r="B542" s="17">
        <v>44993</v>
      </c>
      <c r="C542" s="3" t="s">
        <v>16</v>
      </c>
      <c r="D542" s="3" t="s">
        <v>25</v>
      </c>
      <c r="E542" s="18">
        <v>467</v>
      </c>
      <c r="F542" s="3">
        <v>10</v>
      </c>
      <c r="G542" s="18">
        <f>SalesData!$E542*SalesData!$F542</f>
        <v>4670</v>
      </c>
    </row>
    <row r="543" spans="1:7" x14ac:dyDescent="0.35">
      <c r="A543" s="13" t="s">
        <v>551</v>
      </c>
      <c r="B543" s="14">
        <v>45080</v>
      </c>
      <c r="C543" s="2" t="s">
        <v>16</v>
      </c>
      <c r="D543" s="2" t="s">
        <v>25</v>
      </c>
      <c r="E543" s="15">
        <v>49519</v>
      </c>
      <c r="F543" s="2">
        <v>5</v>
      </c>
      <c r="G543" s="15">
        <f>SalesData!$E543*SalesData!$F543</f>
        <v>247595</v>
      </c>
    </row>
    <row r="544" spans="1:7" x14ac:dyDescent="0.35">
      <c r="A544" s="16" t="s">
        <v>552</v>
      </c>
      <c r="B544" s="17">
        <v>45035</v>
      </c>
      <c r="C544" s="3" t="s">
        <v>31</v>
      </c>
      <c r="D544" s="3" t="s">
        <v>25</v>
      </c>
      <c r="E544" s="18">
        <v>28945</v>
      </c>
      <c r="F544" s="3">
        <v>6</v>
      </c>
      <c r="G544" s="18">
        <f>SalesData!$E544*SalesData!$F544</f>
        <v>173670</v>
      </c>
    </row>
    <row r="545" spans="1:7" x14ac:dyDescent="0.35">
      <c r="A545" s="13" t="s">
        <v>553</v>
      </c>
      <c r="B545" s="14">
        <v>45151</v>
      </c>
      <c r="C545" s="2" t="s">
        <v>89</v>
      </c>
      <c r="D545" s="2" t="s">
        <v>25</v>
      </c>
      <c r="E545" s="15">
        <v>20609</v>
      </c>
      <c r="F545" s="2">
        <v>3</v>
      </c>
      <c r="G545" s="15">
        <f>SalesData!$E545*SalesData!$F545</f>
        <v>61827</v>
      </c>
    </row>
    <row r="546" spans="1:7" x14ac:dyDescent="0.35">
      <c r="A546" s="16" t="s">
        <v>554</v>
      </c>
      <c r="B546" s="17">
        <v>45239</v>
      </c>
      <c r="C546" s="3" t="s">
        <v>89</v>
      </c>
      <c r="D546" s="3" t="s">
        <v>29</v>
      </c>
      <c r="E546" s="18">
        <v>21541</v>
      </c>
      <c r="F546" s="3">
        <v>3</v>
      </c>
      <c r="G546" s="18">
        <f>SalesData!$E546*SalesData!$F546</f>
        <v>64623</v>
      </c>
    </row>
    <row r="547" spans="1:7" x14ac:dyDescent="0.35">
      <c r="A547" s="13" t="s">
        <v>555</v>
      </c>
      <c r="B547" s="14">
        <v>45127</v>
      </c>
      <c r="C547" s="2" t="s">
        <v>16</v>
      </c>
      <c r="D547" s="2" t="s">
        <v>23</v>
      </c>
      <c r="E547" s="15">
        <v>45987</v>
      </c>
      <c r="F547" s="2">
        <v>5</v>
      </c>
      <c r="G547" s="15">
        <f>SalesData!$E547*SalesData!$F547</f>
        <v>229935</v>
      </c>
    </row>
    <row r="548" spans="1:7" x14ac:dyDescent="0.35">
      <c r="A548" s="16" t="s">
        <v>556</v>
      </c>
      <c r="B548" s="17">
        <v>45127</v>
      </c>
      <c r="C548" s="3" t="s">
        <v>31</v>
      </c>
      <c r="D548" s="3" t="s">
        <v>20</v>
      </c>
      <c r="E548" s="18">
        <v>7923</v>
      </c>
      <c r="F548" s="3">
        <v>4</v>
      </c>
      <c r="G548" s="18">
        <f>SalesData!$E548*SalesData!$F548</f>
        <v>31692</v>
      </c>
    </row>
    <row r="549" spans="1:7" x14ac:dyDescent="0.35">
      <c r="A549" s="13" t="s">
        <v>557</v>
      </c>
      <c r="B549" s="14">
        <v>45043</v>
      </c>
      <c r="C549" s="2" t="s">
        <v>31</v>
      </c>
      <c r="D549" s="2" t="s">
        <v>17</v>
      </c>
      <c r="E549" s="15">
        <v>44577</v>
      </c>
      <c r="F549" s="2">
        <v>4</v>
      </c>
      <c r="G549" s="15">
        <f>SalesData!$E549*SalesData!$F549</f>
        <v>178308</v>
      </c>
    </row>
    <row r="550" spans="1:7" x14ac:dyDescent="0.35">
      <c r="A550" s="16" t="s">
        <v>558</v>
      </c>
      <c r="B550" s="17">
        <v>44993</v>
      </c>
      <c r="C550" s="3" t="s">
        <v>14</v>
      </c>
      <c r="D550" s="3" t="s">
        <v>17</v>
      </c>
      <c r="E550" s="18">
        <v>49821</v>
      </c>
      <c r="F550" s="3">
        <v>6</v>
      </c>
      <c r="G550" s="18">
        <f>SalesData!$E550*SalesData!$F550</f>
        <v>298926</v>
      </c>
    </row>
    <row r="551" spans="1:7" x14ac:dyDescent="0.35">
      <c r="A551" s="13" t="s">
        <v>559</v>
      </c>
      <c r="B551" s="14">
        <v>45185</v>
      </c>
      <c r="C551" s="2" t="s">
        <v>14</v>
      </c>
      <c r="D551" s="2" t="s">
        <v>25</v>
      </c>
      <c r="E551" s="15">
        <v>6046</v>
      </c>
      <c r="F551" s="2">
        <v>9</v>
      </c>
      <c r="G551" s="15">
        <f>SalesData!$E551*SalesData!$F551</f>
        <v>54414</v>
      </c>
    </row>
    <row r="552" spans="1:7" x14ac:dyDescent="0.35">
      <c r="A552" s="16" t="s">
        <v>560</v>
      </c>
      <c r="B552" s="17">
        <v>45107</v>
      </c>
      <c r="C552" s="3" t="s">
        <v>31</v>
      </c>
      <c r="D552" s="3" t="s">
        <v>23</v>
      </c>
      <c r="E552" s="18">
        <v>47426</v>
      </c>
      <c r="F552" s="3">
        <v>1</v>
      </c>
      <c r="G552" s="18">
        <f>SalesData!$E552*SalesData!$F552</f>
        <v>47426</v>
      </c>
    </row>
    <row r="553" spans="1:7" x14ac:dyDescent="0.35">
      <c r="A553" s="16" t="s">
        <v>561</v>
      </c>
      <c r="B553" s="17">
        <v>45116</v>
      </c>
      <c r="C553" s="3" t="s">
        <v>89</v>
      </c>
      <c r="D553" s="3" t="s">
        <v>23</v>
      </c>
      <c r="E553" s="18">
        <v>21532</v>
      </c>
      <c r="F553" s="3">
        <v>6</v>
      </c>
      <c r="G553" s="18">
        <f>SalesData!$E553*SalesData!$F553</f>
        <v>129192</v>
      </c>
    </row>
    <row r="554" spans="1:7" x14ac:dyDescent="0.35">
      <c r="A554" s="13" t="s">
        <v>562</v>
      </c>
      <c r="B554" s="14">
        <v>45255</v>
      </c>
      <c r="C554" s="2" t="s">
        <v>14</v>
      </c>
      <c r="D554" s="2" t="s">
        <v>20</v>
      </c>
      <c r="E554" s="15">
        <v>23360</v>
      </c>
      <c r="F554" s="2">
        <v>1</v>
      </c>
      <c r="G554" s="15">
        <f>SalesData!$E554*SalesData!$F554</f>
        <v>23360</v>
      </c>
    </row>
    <row r="555" spans="1:7" x14ac:dyDescent="0.35">
      <c r="A555" s="16" t="s">
        <v>563</v>
      </c>
      <c r="B555" s="17">
        <v>45264</v>
      </c>
      <c r="C555" s="3" t="s">
        <v>16</v>
      </c>
      <c r="D555" s="3" t="s">
        <v>29</v>
      </c>
      <c r="E555" s="18">
        <v>40348</v>
      </c>
      <c r="F555" s="3">
        <v>3</v>
      </c>
      <c r="G555" s="18">
        <f>SalesData!$E555*SalesData!$F555</f>
        <v>121044</v>
      </c>
    </row>
    <row r="556" spans="1:7" x14ac:dyDescent="0.35">
      <c r="A556" s="13" t="s">
        <v>564</v>
      </c>
      <c r="B556" s="14">
        <v>45113</v>
      </c>
      <c r="C556" s="2" t="s">
        <v>16</v>
      </c>
      <c r="D556" s="2" t="s">
        <v>17</v>
      </c>
      <c r="E556" s="15">
        <v>30069</v>
      </c>
      <c r="F556" s="2">
        <v>2</v>
      </c>
      <c r="G556" s="15">
        <f>SalesData!$E556*SalesData!$F556</f>
        <v>60138</v>
      </c>
    </row>
    <row r="557" spans="1:7" x14ac:dyDescent="0.35">
      <c r="A557" s="16" t="s">
        <v>564</v>
      </c>
      <c r="B557" s="17">
        <v>45113</v>
      </c>
      <c r="C557" s="3" t="s">
        <v>16</v>
      </c>
      <c r="D557" s="3" t="s">
        <v>17</v>
      </c>
      <c r="E557" s="18">
        <v>30069</v>
      </c>
      <c r="F557" s="3">
        <v>2</v>
      </c>
      <c r="G557" s="18">
        <f>SalesData!$E557*SalesData!$F557</f>
        <v>60138</v>
      </c>
    </row>
    <row r="558" spans="1:7" x14ac:dyDescent="0.35">
      <c r="A558" s="13" t="s">
        <v>565</v>
      </c>
      <c r="B558" s="14">
        <v>45082</v>
      </c>
      <c r="C558" s="2" t="s">
        <v>89</v>
      </c>
      <c r="D558" s="2" t="s">
        <v>17</v>
      </c>
      <c r="E558" s="15">
        <v>42710</v>
      </c>
      <c r="F558" s="2">
        <v>4</v>
      </c>
      <c r="G558" s="15">
        <f>SalesData!$E558*SalesData!$F558</f>
        <v>170840</v>
      </c>
    </row>
    <row r="559" spans="1:7" x14ac:dyDescent="0.35">
      <c r="A559" s="16" t="s">
        <v>566</v>
      </c>
      <c r="B559" s="17">
        <v>45119</v>
      </c>
      <c r="C559" s="3" t="s">
        <v>16</v>
      </c>
      <c r="D559" s="3" t="s">
        <v>23</v>
      </c>
      <c r="E559" s="18">
        <v>35489</v>
      </c>
      <c r="F559" s="3">
        <v>6</v>
      </c>
      <c r="G559" s="18">
        <f>SalesData!$E559*SalesData!$F559</f>
        <v>212934</v>
      </c>
    </row>
    <row r="560" spans="1:7" x14ac:dyDescent="0.35">
      <c r="A560" s="13" t="s">
        <v>567</v>
      </c>
      <c r="B560" s="14">
        <v>45131</v>
      </c>
      <c r="C560" s="2" t="s">
        <v>89</v>
      </c>
      <c r="D560" s="2" t="s">
        <v>29</v>
      </c>
      <c r="E560" s="15">
        <v>29586</v>
      </c>
      <c r="F560" s="2">
        <v>1</v>
      </c>
      <c r="G560" s="15">
        <f>SalesData!$E560*SalesData!$F560</f>
        <v>29586</v>
      </c>
    </row>
    <row r="561" spans="1:7" x14ac:dyDescent="0.35">
      <c r="A561" s="16" t="s">
        <v>568</v>
      </c>
      <c r="B561" s="17">
        <v>45256</v>
      </c>
      <c r="C561" s="3" t="s">
        <v>16</v>
      </c>
      <c r="D561" s="3" t="s">
        <v>17</v>
      </c>
      <c r="E561" s="18">
        <v>17950</v>
      </c>
      <c r="F561" s="3">
        <v>7</v>
      </c>
      <c r="G561" s="18">
        <f>SalesData!$E561*SalesData!$F561</f>
        <v>125650</v>
      </c>
    </row>
    <row r="562" spans="1:7" x14ac:dyDescent="0.35">
      <c r="A562" s="13" t="s">
        <v>569</v>
      </c>
      <c r="B562" s="14">
        <v>44985</v>
      </c>
      <c r="C562" s="2" t="s">
        <v>89</v>
      </c>
      <c r="D562" s="2" t="s">
        <v>17</v>
      </c>
      <c r="E562" s="15">
        <v>33889</v>
      </c>
      <c r="F562" s="2">
        <v>1</v>
      </c>
      <c r="G562" s="15">
        <f>SalesData!$E562*SalesData!$F562</f>
        <v>33889</v>
      </c>
    </row>
    <row r="563" spans="1:7" x14ac:dyDescent="0.35">
      <c r="A563" s="16" t="s">
        <v>570</v>
      </c>
      <c r="B563" s="17">
        <v>45233</v>
      </c>
      <c r="C563" s="3" t="s">
        <v>89</v>
      </c>
      <c r="D563" s="3" t="s">
        <v>23</v>
      </c>
      <c r="E563" s="18">
        <v>42281</v>
      </c>
      <c r="F563" s="3">
        <v>1</v>
      </c>
      <c r="G563" s="18">
        <f>SalesData!$E563*SalesData!$F563</f>
        <v>42281</v>
      </c>
    </row>
    <row r="564" spans="1:7" x14ac:dyDescent="0.35">
      <c r="A564" s="13" t="s">
        <v>571</v>
      </c>
      <c r="B564" s="14">
        <v>45039</v>
      </c>
      <c r="C564" s="2" t="s">
        <v>89</v>
      </c>
      <c r="D564" s="2" t="s">
        <v>25</v>
      </c>
      <c r="E564" s="15">
        <v>2130</v>
      </c>
      <c r="F564" s="2">
        <v>7</v>
      </c>
      <c r="G564" s="15">
        <f>SalesData!$E564*SalesData!$F564</f>
        <v>14910</v>
      </c>
    </row>
    <row r="565" spans="1:7" x14ac:dyDescent="0.35">
      <c r="A565" s="16" t="s">
        <v>572</v>
      </c>
      <c r="B565" s="17">
        <v>44992</v>
      </c>
      <c r="C565" s="3" t="s">
        <v>31</v>
      </c>
      <c r="D565" s="3" t="s">
        <v>17</v>
      </c>
      <c r="E565" s="18">
        <v>4737</v>
      </c>
      <c r="F565" s="3">
        <v>7</v>
      </c>
      <c r="G565" s="18">
        <f>SalesData!$E565*SalesData!$F565</f>
        <v>33159</v>
      </c>
    </row>
    <row r="566" spans="1:7" x14ac:dyDescent="0.35">
      <c r="A566" s="13" t="s">
        <v>573</v>
      </c>
      <c r="B566" s="14">
        <v>45085</v>
      </c>
      <c r="C566" s="2" t="s">
        <v>89</v>
      </c>
      <c r="D566" s="2" t="s">
        <v>23</v>
      </c>
      <c r="E566" s="15">
        <v>29694</v>
      </c>
      <c r="F566" s="2">
        <v>1</v>
      </c>
      <c r="G566" s="15">
        <f>SalesData!$E566*SalesData!$F566</f>
        <v>29694</v>
      </c>
    </row>
    <row r="567" spans="1:7" x14ac:dyDescent="0.35">
      <c r="A567" s="16" t="s">
        <v>574</v>
      </c>
      <c r="B567" s="17">
        <v>45270</v>
      </c>
      <c r="C567" s="3" t="s">
        <v>14</v>
      </c>
      <c r="D567" s="3" t="s">
        <v>17</v>
      </c>
      <c r="E567" s="18">
        <v>3424</v>
      </c>
      <c r="F567" s="3">
        <v>4</v>
      </c>
      <c r="G567" s="18">
        <f>SalesData!$E567*SalesData!$F567</f>
        <v>13696</v>
      </c>
    </row>
    <row r="568" spans="1:7" x14ac:dyDescent="0.35">
      <c r="A568" s="13" t="s">
        <v>575</v>
      </c>
      <c r="B568" s="14">
        <v>45252</v>
      </c>
      <c r="C568" s="2" t="s">
        <v>16</v>
      </c>
      <c r="D568" s="2" t="s">
        <v>29</v>
      </c>
      <c r="E568" s="15">
        <v>17858</v>
      </c>
      <c r="F568" s="2">
        <v>10</v>
      </c>
      <c r="G568" s="15">
        <f>SalesData!$E568*SalesData!$F568</f>
        <v>178580</v>
      </c>
    </row>
    <row r="569" spans="1:7" x14ac:dyDescent="0.35">
      <c r="A569" s="13" t="s">
        <v>576</v>
      </c>
      <c r="B569" s="14">
        <v>45016</v>
      </c>
      <c r="C569" s="2" t="s">
        <v>16</v>
      </c>
      <c r="D569" s="2" t="s">
        <v>17</v>
      </c>
      <c r="E569" s="15">
        <v>28219</v>
      </c>
      <c r="F569" s="2">
        <v>9</v>
      </c>
      <c r="G569" s="15">
        <f>SalesData!$E569*SalesData!$F569</f>
        <v>253971</v>
      </c>
    </row>
    <row r="570" spans="1:7" x14ac:dyDescent="0.35">
      <c r="A570" s="16" t="s">
        <v>577</v>
      </c>
      <c r="B570" s="17">
        <v>44945</v>
      </c>
      <c r="C570" s="3" t="s">
        <v>16</v>
      </c>
      <c r="D570" s="3" t="s">
        <v>29</v>
      </c>
      <c r="E570" s="18">
        <v>43402</v>
      </c>
      <c r="F570" s="3">
        <v>7</v>
      </c>
      <c r="G570" s="18">
        <f>SalesData!$E570*SalesData!$F570</f>
        <v>303814</v>
      </c>
    </row>
    <row r="571" spans="1:7" x14ac:dyDescent="0.35">
      <c r="A571" s="13" t="s">
        <v>578</v>
      </c>
      <c r="B571" s="14">
        <v>45105</v>
      </c>
      <c r="C571" s="2" t="s">
        <v>89</v>
      </c>
      <c r="D571" s="2" t="s">
        <v>25</v>
      </c>
      <c r="E571" s="15">
        <v>14822</v>
      </c>
      <c r="F571" s="2">
        <v>5</v>
      </c>
      <c r="G571" s="15">
        <f>SalesData!$E571*SalesData!$F571</f>
        <v>74110</v>
      </c>
    </row>
    <row r="572" spans="1:7" x14ac:dyDescent="0.35">
      <c r="A572" s="16" t="s">
        <v>579</v>
      </c>
      <c r="B572" s="17">
        <v>45216</v>
      </c>
      <c r="C572" s="3" t="s">
        <v>31</v>
      </c>
      <c r="D572" s="3" t="s">
        <v>23</v>
      </c>
      <c r="E572" s="18">
        <v>10818</v>
      </c>
      <c r="F572" s="3">
        <v>6</v>
      </c>
      <c r="G572" s="18">
        <f>SalesData!$E572*SalesData!$F572</f>
        <v>64908</v>
      </c>
    </row>
    <row r="573" spans="1:7" x14ac:dyDescent="0.35">
      <c r="A573" s="13" t="s">
        <v>580</v>
      </c>
      <c r="B573" s="14">
        <v>45239</v>
      </c>
      <c r="C573" s="2" t="s">
        <v>31</v>
      </c>
      <c r="D573" s="2" t="s">
        <v>25</v>
      </c>
      <c r="E573" s="15">
        <v>48017</v>
      </c>
      <c r="F573" s="2">
        <v>6</v>
      </c>
      <c r="G573" s="15">
        <f>SalesData!$E573*SalesData!$F573</f>
        <v>288102</v>
      </c>
    </row>
    <row r="574" spans="1:7" x14ac:dyDescent="0.35">
      <c r="A574" s="13" t="s">
        <v>581</v>
      </c>
      <c r="B574" s="14">
        <v>44997</v>
      </c>
      <c r="C574" s="2" t="s">
        <v>31</v>
      </c>
      <c r="D574" s="2" t="s">
        <v>17</v>
      </c>
      <c r="E574" s="15">
        <v>13040</v>
      </c>
      <c r="F574" s="2">
        <v>2</v>
      </c>
      <c r="G574" s="15">
        <f>SalesData!$E574*SalesData!$F574</f>
        <v>26080</v>
      </c>
    </row>
    <row r="575" spans="1:7" x14ac:dyDescent="0.35">
      <c r="A575" s="16" t="s">
        <v>582</v>
      </c>
      <c r="B575" s="17">
        <v>45206</v>
      </c>
      <c r="C575" s="3" t="s">
        <v>16</v>
      </c>
      <c r="D575" s="3" t="s">
        <v>29</v>
      </c>
      <c r="E575" s="18">
        <v>6181</v>
      </c>
      <c r="F575" s="3">
        <v>1</v>
      </c>
      <c r="G575" s="18">
        <f>SalesData!$E575*SalesData!$F575</f>
        <v>6181</v>
      </c>
    </row>
    <row r="576" spans="1:7" x14ac:dyDescent="0.35">
      <c r="A576" s="16" t="s">
        <v>583</v>
      </c>
      <c r="B576" s="17">
        <v>44931</v>
      </c>
      <c r="C576" s="3" t="s">
        <v>31</v>
      </c>
      <c r="D576" s="3" t="s">
        <v>25</v>
      </c>
      <c r="E576" s="18">
        <v>17439</v>
      </c>
      <c r="F576" s="3">
        <v>2</v>
      </c>
      <c r="G576" s="18">
        <f>SalesData!$E576*SalesData!$F576</f>
        <v>34878</v>
      </c>
    </row>
    <row r="577" spans="1:7" x14ac:dyDescent="0.35">
      <c r="A577" s="13" t="s">
        <v>584</v>
      </c>
      <c r="B577" s="14">
        <v>44960</v>
      </c>
      <c r="C577" s="2" t="s">
        <v>14</v>
      </c>
      <c r="D577" s="2" t="s">
        <v>20</v>
      </c>
      <c r="E577" s="15">
        <v>15438</v>
      </c>
      <c r="F577" s="2">
        <v>9</v>
      </c>
      <c r="G577" s="15">
        <f>SalesData!$E577*SalesData!$F577</f>
        <v>138942</v>
      </c>
    </row>
    <row r="578" spans="1:7" x14ac:dyDescent="0.35">
      <c r="A578" s="16" t="s">
        <v>585</v>
      </c>
      <c r="B578" s="17">
        <v>45070</v>
      </c>
      <c r="C578" s="3" t="s">
        <v>31</v>
      </c>
      <c r="D578" s="3" t="s">
        <v>23</v>
      </c>
      <c r="E578" s="18">
        <v>2668</v>
      </c>
      <c r="F578" s="3">
        <v>8</v>
      </c>
      <c r="G578" s="18">
        <f>SalesData!$E578*SalesData!$F578</f>
        <v>21344</v>
      </c>
    </row>
    <row r="579" spans="1:7" x14ac:dyDescent="0.35">
      <c r="A579" s="13" t="s">
        <v>586</v>
      </c>
      <c r="B579" s="14">
        <v>45126</v>
      </c>
      <c r="C579" s="2" t="s">
        <v>89</v>
      </c>
      <c r="D579" s="2" t="s">
        <v>25</v>
      </c>
      <c r="E579" s="15">
        <v>26458</v>
      </c>
      <c r="F579" s="2">
        <v>6</v>
      </c>
      <c r="G579" s="15">
        <f>SalesData!$E579*SalesData!$F579</f>
        <v>158748</v>
      </c>
    </row>
    <row r="580" spans="1:7" x14ac:dyDescent="0.35">
      <c r="A580" s="16" t="s">
        <v>587</v>
      </c>
      <c r="B580" s="17">
        <v>45071</v>
      </c>
      <c r="C580" s="3" t="s">
        <v>31</v>
      </c>
      <c r="D580" s="3" t="s">
        <v>17</v>
      </c>
      <c r="E580" s="18">
        <v>30224</v>
      </c>
      <c r="F580" s="3">
        <v>4</v>
      </c>
      <c r="G580" s="18">
        <f>SalesData!$E580*SalesData!$F580</f>
        <v>120896</v>
      </c>
    </row>
    <row r="581" spans="1:7" x14ac:dyDescent="0.35">
      <c r="A581" s="13" t="s">
        <v>588</v>
      </c>
      <c r="B581" s="14">
        <v>45194</v>
      </c>
      <c r="C581" s="2" t="s">
        <v>16</v>
      </c>
      <c r="D581" s="2" t="s">
        <v>20</v>
      </c>
      <c r="E581" s="15">
        <v>47280</v>
      </c>
      <c r="F581" s="2">
        <v>8</v>
      </c>
      <c r="G581" s="15">
        <f>SalesData!$E581*SalesData!$F581</f>
        <v>378240</v>
      </c>
    </row>
    <row r="582" spans="1:7" x14ac:dyDescent="0.35">
      <c r="A582" s="16" t="s">
        <v>589</v>
      </c>
      <c r="B582" s="17">
        <v>45070</v>
      </c>
      <c r="C582" s="3" t="s">
        <v>31</v>
      </c>
      <c r="D582" s="3" t="s">
        <v>20</v>
      </c>
      <c r="E582" s="18">
        <v>21673</v>
      </c>
      <c r="F582" s="3">
        <v>8</v>
      </c>
      <c r="G582" s="18">
        <f>SalesData!$E582*SalesData!$F582</f>
        <v>173384</v>
      </c>
    </row>
    <row r="583" spans="1:7" x14ac:dyDescent="0.35">
      <c r="A583" s="13" t="s">
        <v>590</v>
      </c>
      <c r="B583" s="14">
        <v>45197</v>
      </c>
      <c r="C583" s="2" t="s">
        <v>14</v>
      </c>
      <c r="D583" s="2" t="s">
        <v>23</v>
      </c>
      <c r="E583" s="15">
        <v>45055</v>
      </c>
      <c r="F583" s="2">
        <v>3</v>
      </c>
      <c r="G583" s="15">
        <f>SalesData!$E583*SalesData!$F583</f>
        <v>135165</v>
      </c>
    </row>
    <row r="584" spans="1:7" x14ac:dyDescent="0.35">
      <c r="A584" s="16" t="s">
        <v>591</v>
      </c>
      <c r="B584" s="17">
        <v>45158</v>
      </c>
      <c r="C584" s="3" t="s">
        <v>89</v>
      </c>
      <c r="D584" s="3" t="s">
        <v>17</v>
      </c>
      <c r="E584" s="18">
        <v>30611</v>
      </c>
      <c r="F584" s="3">
        <v>4</v>
      </c>
      <c r="G584" s="18">
        <f>SalesData!$E584*SalesData!$F584</f>
        <v>122444</v>
      </c>
    </row>
    <row r="585" spans="1:7" x14ac:dyDescent="0.35">
      <c r="A585" s="13" t="s">
        <v>592</v>
      </c>
      <c r="B585" s="14">
        <v>45231</v>
      </c>
      <c r="C585" s="2" t="s">
        <v>16</v>
      </c>
      <c r="D585" s="2" t="s">
        <v>23</v>
      </c>
      <c r="E585" s="15">
        <v>18088</v>
      </c>
      <c r="F585" s="2">
        <v>7</v>
      </c>
      <c r="G585" s="15">
        <f>SalesData!$E585*SalesData!$F585</f>
        <v>126616</v>
      </c>
    </row>
    <row r="586" spans="1:7" x14ac:dyDescent="0.35">
      <c r="A586" s="16" t="s">
        <v>593</v>
      </c>
      <c r="B586" s="17">
        <v>45280</v>
      </c>
      <c r="C586" s="3" t="s">
        <v>16</v>
      </c>
      <c r="D586" s="3" t="s">
        <v>23</v>
      </c>
      <c r="E586" s="18">
        <v>181</v>
      </c>
      <c r="F586" s="3">
        <v>7</v>
      </c>
      <c r="G586" s="18">
        <f>SalesData!$E586*SalesData!$F586</f>
        <v>1267</v>
      </c>
    </row>
    <row r="587" spans="1:7" x14ac:dyDescent="0.35">
      <c r="A587" s="13" t="s">
        <v>594</v>
      </c>
      <c r="B587" s="14">
        <v>44964</v>
      </c>
      <c r="C587" s="2" t="s">
        <v>31</v>
      </c>
      <c r="D587" s="2" t="s">
        <v>20</v>
      </c>
      <c r="E587" s="15">
        <v>2638</v>
      </c>
      <c r="F587" s="2">
        <v>8</v>
      </c>
      <c r="G587" s="15">
        <f>SalesData!$E587*SalesData!$F587</f>
        <v>21104</v>
      </c>
    </row>
    <row r="588" spans="1:7" x14ac:dyDescent="0.35">
      <c r="A588" s="13" t="s">
        <v>595</v>
      </c>
      <c r="B588" s="14">
        <v>44950</v>
      </c>
      <c r="C588" s="2" t="s">
        <v>14</v>
      </c>
      <c r="D588" s="2" t="s">
        <v>17</v>
      </c>
      <c r="E588" s="15">
        <v>20590</v>
      </c>
      <c r="F588" s="2">
        <v>6</v>
      </c>
      <c r="G588" s="15">
        <f>SalesData!$E588*SalesData!$F588</f>
        <v>123540</v>
      </c>
    </row>
    <row r="589" spans="1:7" x14ac:dyDescent="0.35">
      <c r="A589" s="16" t="s">
        <v>596</v>
      </c>
      <c r="B589" s="17">
        <v>45111</v>
      </c>
      <c r="C589" s="3" t="s">
        <v>14</v>
      </c>
      <c r="D589" s="3" t="s">
        <v>20</v>
      </c>
      <c r="E589" s="18">
        <v>30084</v>
      </c>
      <c r="F589" s="3">
        <v>3</v>
      </c>
      <c r="G589" s="18">
        <f>SalesData!$E589*SalesData!$F589</f>
        <v>90252</v>
      </c>
    </row>
    <row r="590" spans="1:7" x14ac:dyDescent="0.35">
      <c r="A590" s="13" t="s">
        <v>597</v>
      </c>
      <c r="B590" s="14">
        <v>45097</v>
      </c>
      <c r="C590" s="2" t="s">
        <v>89</v>
      </c>
      <c r="D590" s="2" t="s">
        <v>17</v>
      </c>
      <c r="E590" s="15">
        <v>47640</v>
      </c>
      <c r="F590" s="2">
        <v>5</v>
      </c>
      <c r="G590" s="15">
        <f>SalesData!$E590*SalesData!$F590</f>
        <v>238200</v>
      </c>
    </row>
    <row r="591" spans="1:7" x14ac:dyDescent="0.35">
      <c r="A591" s="16" t="s">
        <v>598</v>
      </c>
      <c r="B591" s="17">
        <v>44964</v>
      </c>
      <c r="C591" s="3" t="s">
        <v>16</v>
      </c>
      <c r="D591" s="3" t="s">
        <v>17</v>
      </c>
      <c r="E591" s="18">
        <v>25722</v>
      </c>
      <c r="F591" s="3">
        <v>7</v>
      </c>
      <c r="G591" s="18">
        <f>SalesData!$E591*SalesData!$F591</f>
        <v>180054</v>
      </c>
    </row>
    <row r="592" spans="1:7" x14ac:dyDescent="0.35">
      <c r="A592" s="13" t="s">
        <v>599</v>
      </c>
      <c r="B592" s="14">
        <v>44986</v>
      </c>
      <c r="C592" s="2" t="s">
        <v>89</v>
      </c>
      <c r="D592" s="2" t="s">
        <v>17</v>
      </c>
      <c r="E592" s="15">
        <v>12469</v>
      </c>
      <c r="F592" s="2">
        <v>10</v>
      </c>
      <c r="G592" s="15">
        <f>SalesData!$E592*SalesData!$F592</f>
        <v>124690</v>
      </c>
    </row>
    <row r="593" spans="1:7" x14ac:dyDescent="0.35">
      <c r="A593" s="16" t="s">
        <v>600</v>
      </c>
      <c r="B593" s="17">
        <v>45252</v>
      </c>
      <c r="C593" s="3" t="s">
        <v>14</v>
      </c>
      <c r="D593" s="3" t="s">
        <v>23</v>
      </c>
      <c r="E593" s="18">
        <v>31622</v>
      </c>
      <c r="F593" s="3">
        <v>2</v>
      </c>
      <c r="G593" s="18">
        <f>SalesData!$E593*SalesData!$F593</f>
        <v>63244</v>
      </c>
    </row>
    <row r="594" spans="1:7" x14ac:dyDescent="0.35">
      <c r="A594" s="16" t="s">
        <v>601</v>
      </c>
      <c r="B594" s="17">
        <v>44995</v>
      </c>
      <c r="C594" s="3" t="s">
        <v>31</v>
      </c>
      <c r="D594" s="3" t="s">
        <v>25</v>
      </c>
      <c r="E594" s="18">
        <v>1048</v>
      </c>
      <c r="F594" s="3">
        <v>8</v>
      </c>
      <c r="G594" s="18">
        <f>SalesData!$E594*SalesData!$F594</f>
        <v>8384</v>
      </c>
    </row>
    <row r="595" spans="1:7" x14ac:dyDescent="0.35">
      <c r="A595" s="16" t="s">
        <v>602</v>
      </c>
      <c r="B595" s="17">
        <v>45131</v>
      </c>
      <c r="C595" s="3" t="s">
        <v>89</v>
      </c>
      <c r="D595" s="3" t="s">
        <v>17</v>
      </c>
      <c r="E595" s="18">
        <v>12919</v>
      </c>
      <c r="F595" s="3">
        <v>10</v>
      </c>
      <c r="G595" s="18">
        <f>SalesData!$E595*SalesData!$F595</f>
        <v>129190</v>
      </c>
    </row>
    <row r="596" spans="1:7" x14ac:dyDescent="0.35">
      <c r="A596" s="13" t="s">
        <v>603</v>
      </c>
      <c r="B596" s="14">
        <v>45278</v>
      </c>
      <c r="C596" s="2" t="s">
        <v>31</v>
      </c>
      <c r="D596" s="2" t="s">
        <v>23</v>
      </c>
      <c r="E596" s="15">
        <v>24582</v>
      </c>
      <c r="F596" s="2">
        <v>4</v>
      </c>
      <c r="G596" s="15">
        <f>SalesData!$E596*SalesData!$F596</f>
        <v>98328</v>
      </c>
    </row>
    <row r="597" spans="1:7" x14ac:dyDescent="0.35">
      <c r="A597" s="13" t="s">
        <v>604</v>
      </c>
      <c r="B597" s="14">
        <v>44991</v>
      </c>
      <c r="C597" s="2" t="s">
        <v>16</v>
      </c>
      <c r="D597" s="2" t="s">
        <v>23</v>
      </c>
      <c r="E597" s="15">
        <v>44065</v>
      </c>
      <c r="F597" s="2">
        <v>6</v>
      </c>
      <c r="G597" s="15">
        <f>SalesData!$E597*SalesData!$F597</f>
        <v>264390</v>
      </c>
    </row>
    <row r="598" spans="1:7" x14ac:dyDescent="0.35">
      <c r="A598" s="16" t="s">
        <v>605</v>
      </c>
      <c r="B598" s="17">
        <v>45133</v>
      </c>
      <c r="C598" s="3" t="s">
        <v>89</v>
      </c>
      <c r="D598" s="3" t="s">
        <v>17</v>
      </c>
      <c r="E598" s="18">
        <v>36974</v>
      </c>
      <c r="F598" s="3">
        <v>8</v>
      </c>
      <c r="G598" s="18">
        <f>SalesData!$E598*SalesData!$F598</f>
        <v>295792</v>
      </c>
    </row>
    <row r="599" spans="1:7" x14ac:dyDescent="0.35">
      <c r="A599" s="13" t="s">
        <v>606</v>
      </c>
      <c r="B599" s="14">
        <v>45249</v>
      </c>
      <c r="C599" s="2" t="s">
        <v>16</v>
      </c>
      <c r="D599" s="2" t="s">
        <v>25</v>
      </c>
      <c r="E599" s="15">
        <v>24333</v>
      </c>
      <c r="F599" s="2">
        <v>3</v>
      </c>
      <c r="G599" s="15">
        <f>SalesData!$E599*SalesData!$F599</f>
        <v>72999</v>
      </c>
    </row>
    <row r="600" spans="1:7" x14ac:dyDescent="0.35">
      <c r="A600" s="16" t="s">
        <v>607</v>
      </c>
      <c r="B600" s="17">
        <v>44937</v>
      </c>
      <c r="C600" s="3" t="s">
        <v>89</v>
      </c>
      <c r="D600" s="3" t="s">
        <v>23</v>
      </c>
      <c r="E600" s="18">
        <v>19631</v>
      </c>
      <c r="F600" s="3">
        <v>6</v>
      </c>
      <c r="G600" s="18">
        <f>SalesData!$E600*SalesData!$F600</f>
        <v>117786</v>
      </c>
    </row>
    <row r="601" spans="1:7" x14ac:dyDescent="0.35">
      <c r="A601" s="13" t="s">
        <v>608</v>
      </c>
      <c r="B601" s="14">
        <v>45063</v>
      </c>
      <c r="C601" s="2" t="s">
        <v>16</v>
      </c>
      <c r="D601" s="2" t="s">
        <v>25</v>
      </c>
      <c r="E601" s="15">
        <v>13504</v>
      </c>
      <c r="F601" s="2">
        <v>5</v>
      </c>
      <c r="G601" s="15">
        <f>SalesData!$E601*SalesData!$F601</f>
        <v>67520</v>
      </c>
    </row>
    <row r="602" spans="1:7" x14ac:dyDescent="0.35">
      <c r="A602" s="16" t="s">
        <v>609</v>
      </c>
      <c r="B602" s="17">
        <v>44982</v>
      </c>
      <c r="C602" s="3" t="s">
        <v>89</v>
      </c>
      <c r="D602" s="3" t="s">
        <v>20</v>
      </c>
      <c r="E602" s="18">
        <v>25060</v>
      </c>
      <c r="F602" s="3">
        <v>7</v>
      </c>
      <c r="G602" s="18">
        <f>SalesData!$E602*SalesData!$F602</f>
        <v>175420</v>
      </c>
    </row>
    <row r="603" spans="1:7" x14ac:dyDescent="0.35">
      <c r="A603" s="13" t="s">
        <v>610</v>
      </c>
      <c r="B603" s="14">
        <v>45160</v>
      </c>
      <c r="C603" s="2" t="s">
        <v>14</v>
      </c>
      <c r="D603" s="2" t="s">
        <v>29</v>
      </c>
      <c r="E603" s="15">
        <v>35233</v>
      </c>
      <c r="F603" s="2">
        <v>7</v>
      </c>
      <c r="G603" s="15">
        <f>SalesData!$E603*SalesData!$F603</f>
        <v>246631</v>
      </c>
    </row>
    <row r="604" spans="1:7" x14ac:dyDescent="0.35">
      <c r="A604" s="16" t="s">
        <v>611</v>
      </c>
      <c r="B604" s="17">
        <v>45184</v>
      </c>
      <c r="C604" s="3" t="s">
        <v>16</v>
      </c>
      <c r="D604" s="3" t="s">
        <v>29</v>
      </c>
      <c r="E604" s="18">
        <v>29321</v>
      </c>
      <c r="F604" s="3">
        <v>5</v>
      </c>
      <c r="G604" s="18">
        <f>SalesData!$E604*SalesData!$F604</f>
        <v>146605</v>
      </c>
    </row>
    <row r="605" spans="1:7" x14ac:dyDescent="0.35">
      <c r="A605" s="13" t="s">
        <v>612</v>
      </c>
      <c r="B605" s="14">
        <v>45105</v>
      </c>
      <c r="C605" s="2" t="s">
        <v>31</v>
      </c>
      <c r="D605" s="2" t="s">
        <v>17</v>
      </c>
      <c r="E605" s="15">
        <v>22340</v>
      </c>
      <c r="F605" s="2">
        <v>3</v>
      </c>
      <c r="G605" s="15">
        <f>SalesData!$E605*SalesData!$F605</f>
        <v>67020</v>
      </c>
    </row>
    <row r="606" spans="1:7" x14ac:dyDescent="0.35">
      <c r="A606" s="16" t="s">
        <v>613</v>
      </c>
      <c r="B606" s="17">
        <v>45162</v>
      </c>
      <c r="C606" s="3" t="s">
        <v>31</v>
      </c>
      <c r="D606" s="3" t="s">
        <v>20</v>
      </c>
      <c r="E606" s="18">
        <v>37996</v>
      </c>
      <c r="F606" s="3">
        <v>3</v>
      </c>
      <c r="G606" s="18">
        <f>SalesData!$E606*SalesData!$F606</f>
        <v>113988</v>
      </c>
    </row>
    <row r="607" spans="1:7" x14ac:dyDescent="0.35">
      <c r="A607" s="13" t="s">
        <v>614</v>
      </c>
      <c r="B607" s="14">
        <v>45127</v>
      </c>
      <c r="C607" s="2" t="s">
        <v>89</v>
      </c>
      <c r="D607" s="2" t="s">
        <v>25</v>
      </c>
      <c r="E607" s="15">
        <v>43418</v>
      </c>
      <c r="F607" s="2">
        <v>3</v>
      </c>
      <c r="G607" s="15">
        <f>SalesData!$E607*SalesData!$F607</f>
        <v>130254</v>
      </c>
    </row>
    <row r="608" spans="1:7" x14ac:dyDescent="0.35">
      <c r="A608" s="16" t="s">
        <v>615</v>
      </c>
      <c r="B608" s="17">
        <v>45174</v>
      </c>
      <c r="C608" s="3" t="s">
        <v>14</v>
      </c>
      <c r="D608" s="3" t="s">
        <v>29</v>
      </c>
      <c r="E608" s="18">
        <v>8711</v>
      </c>
      <c r="F608" s="3">
        <v>9</v>
      </c>
      <c r="G608" s="18">
        <f>SalesData!$E608*SalesData!$F608</f>
        <v>78399</v>
      </c>
    </row>
    <row r="609" spans="1:7" x14ac:dyDescent="0.35">
      <c r="A609" s="16" t="s">
        <v>616</v>
      </c>
      <c r="B609" s="17">
        <v>45058</v>
      </c>
      <c r="C609" s="3" t="s">
        <v>14</v>
      </c>
      <c r="D609" s="3" t="s">
        <v>29</v>
      </c>
      <c r="E609" s="18">
        <v>1433</v>
      </c>
      <c r="F609" s="3">
        <v>5</v>
      </c>
      <c r="G609" s="18">
        <f>SalesData!$E609*SalesData!$F609</f>
        <v>7165</v>
      </c>
    </row>
    <row r="610" spans="1:7" x14ac:dyDescent="0.35">
      <c r="A610" s="13" t="s">
        <v>617</v>
      </c>
      <c r="B610" s="14">
        <v>45169</v>
      </c>
      <c r="C610" s="2" t="s">
        <v>31</v>
      </c>
      <c r="D610" s="2" t="s">
        <v>23</v>
      </c>
      <c r="E610" s="15">
        <v>17393</v>
      </c>
      <c r="F610" s="2">
        <v>9</v>
      </c>
      <c r="G610" s="15">
        <f>SalesData!$E610*SalesData!$F610</f>
        <v>156537</v>
      </c>
    </row>
    <row r="611" spans="1:7" x14ac:dyDescent="0.35">
      <c r="A611" s="16" t="s">
        <v>618</v>
      </c>
      <c r="B611" s="17">
        <v>45021</v>
      </c>
      <c r="C611" s="3" t="s">
        <v>31</v>
      </c>
      <c r="D611" s="3" t="s">
        <v>20</v>
      </c>
      <c r="E611" s="18">
        <v>12882</v>
      </c>
      <c r="F611" s="3">
        <v>2</v>
      </c>
      <c r="G611" s="18">
        <f>SalesData!$E611*SalesData!$F611</f>
        <v>25764</v>
      </c>
    </row>
    <row r="612" spans="1:7" x14ac:dyDescent="0.35">
      <c r="A612" s="13" t="s">
        <v>619</v>
      </c>
      <c r="B612" s="14">
        <v>44988</v>
      </c>
      <c r="C612" s="2" t="s">
        <v>31</v>
      </c>
      <c r="D612" s="2" t="s">
        <v>23</v>
      </c>
      <c r="E612" s="15">
        <v>8280</v>
      </c>
      <c r="F612" s="2">
        <v>2</v>
      </c>
      <c r="G612" s="15">
        <f>SalesData!$E612*SalesData!$F612</f>
        <v>16560</v>
      </c>
    </row>
    <row r="613" spans="1:7" x14ac:dyDescent="0.35">
      <c r="A613" s="16" t="s">
        <v>620</v>
      </c>
      <c r="B613" s="17">
        <v>45278</v>
      </c>
      <c r="C613" s="3" t="s">
        <v>16</v>
      </c>
      <c r="D613" s="3" t="s">
        <v>20</v>
      </c>
      <c r="E613" s="18">
        <v>40844</v>
      </c>
      <c r="F613" s="3">
        <v>9</v>
      </c>
      <c r="G613" s="18">
        <f>SalesData!$E613*SalesData!$F613</f>
        <v>367596</v>
      </c>
    </row>
    <row r="614" spans="1:7" x14ac:dyDescent="0.35">
      <c r="A614" s="13" t="s">
        <v>621</v>
      </c>
      <c r="B614" s="14">
        <v>45276</v>
      </c>
      <c r="C614" s="2" t="s">
        <v>16</v>
      </c>
      <c r="D614" s="2" t="s">
        <v>17</v>
      </c>
      <c r="E614" s="15">
        <v>13891</v>
      </c>
      <c r="F614" s="2">
        <v>6</v>
      </c>
      <c r="G614" s="15">
        <f>SalesData!$E614*SalesData!$F614</f>
        <v>83346</v>
      </c>
    </row>
    <row r="615" spans="1:7" x14ac:dyDescent="0.35">
      <c r="A615" s="16" t="s">
        <v>622</v>
      </c>
      <c r="B615" s="17">
        <v>45057</v>
      </c>
      <c r="C615" s="3" t="s">
        <v>14</v>
      </c>
      <c r="D615" s="3" t="s">
        <v>29</v>
      </c>
      <c r="E615" s="18">
        <v>28136</v>
      </c>
      <c r="F615" s="3">
        <v>3</v>
      </c>
      <c r="G615" s="18">
        <f>SalesData!$E615*SalesData!$F615</f>
        <v>84408</v>
      </c>
    </row>
    <row r="616" spans="1:7" x14ac:dyDescent="0.35">
      <c r="A616" s="13" t="s">
        <v>623</v>
      </c>
      <c r="B616" s="14">
        <v>45223</v>
      </c>
      <c r="C616" s="2" t="s">
        <v>14</v>
      </c>
      <c r="D616" s="2" t="s">
        <v>23</v>
      </c>
      <c r="E616" s="15">
        <v>44389</v>
      </c>
      <c r="F616" s="2">
        <v>10</v>
      </c>
      <c r="G616" s="15">
        <f>SalesData!$E616*SalesData!$F616</f>
        <v>443890</v>
      </c>
    </row>
    <row r="617" spans="1:7" x14ac:dyDescent="0.35">
      <c r="A617" s="16" t="s">
        <v>624</v>
      </c>
      <c r="B617" s="17">
        <v>45108</v>
      </c>
      <c r="C617" s="3" t="s">
        <v>31</v>
      </c>
      <c r="D617" s="3" t="s">
        <v>20</v>
      </c>
      <c r="E617" s="18">
        <v>17417</v>
      </c>
      <c r="F617" s="3">
        <v>5</v>
      </c>
      <c r="G617" s="18">
        <f>SalesData!$E617*SalesData!$F617</f>
        <v>87085</v>
      </c>
    </row>
    <row r="618" spans="1:7" x14ac:dyDescent="0.35">
      <c r="A618" s="13" t="s">
        <v>625</v>
      </c>
      <c r="B618" s="14">
        <v>45167</v>
      </c>
      <c r="C618" s="2" t="s">
        <v>14</v>
      </c>
      <c r="D618" s="2" t="s">
        <v>29</v>
      </c>
      <c r="E618" s="15">
        <v>24993</v>
      </c>
      <c r="F618" s="2">
        <v>2</v>
      </c>
      <c r="G618" s="15">
        <f>SalesData!$E618*SalesData!$F618</f>
        <v>49986</v>
      </c>
    </row>
    <row r="619" spans="1:7" x14ac:dyDescent="0.35">
      <c r="A619" s="16" t="s">
        <v>626</v>
      </c>
      <c r="B619" s="17">
        <v>45236</v>
      </c>
      <c r="C619" s="3" t="s">
        <v>89</v>
      </c>
      <c r="D619" s="3" t="s">
        <v>23</v>
      </c>
      <c r="E619" s="18">
        <v>37257</v>
      </c>
      <c r="F619" s="3">
        <v>4</v>
      </c>
      <c r="G619" s="18">
        <f>SalesData!$E619*SalesData!$F619</f>
        <v>149028</v>
      </c>
    </row>
    <row r="620" spans="1:7" x14ac:dyDescent="0.35">
      <c r="A620" s="13" t="s">
        <v>627</v>
      </c>
      <c r="B620" s="14">
        <v>45167</v>
      </c>
      <c r="C620" s="2" t="s">
        <v>14</v>
      </c>
      <c r="D620" s="2" t="s">
        <v>29</v>
      </c>
      <c r="E620" s="15">
        <v>43726</v>
      </c>
      <c r="F620" s="2">
        <v>8</v>
      </c>
      <c r="G620" s="15">
        <f>SalesData!$E620*SalesData!$F620</f>
        <v>349808</v>
      </c>
    </row>
    <row r="621" spans="1:7" x14ac:dyDescent="0.35">
      <c r="A621" s="16" t="s">
        <v>628</v>
      </c>
      <c r="B621" s="17">
        <v>45286</v>
      </c>
      <c r="C621" s="3" t="s">
        <v>16</v>
      </c>
      <c r="D621" s="3" t="s">
        <v>29</v>
      </c>
      <c r="E621" s="18">
        <v>37551</v>
      </c>
      <c r="F621" s="3">
        <v>1</v>
      </c>
      <c r="G621" s="18">
        <f>SalesData!$E621*SalesData!$F621</f>
        <v>37551</v>
      </c>
    </row>
    <row r="622" spans="1:7" x14ac:dyDescent="0.35">
      <c r="A622" s="13" t="s">
        <v>628</v>
      </c>
      <c r="B622" s="14">
        <v>45286</v>
      </c>
      <c r="C622" s="2" t="s">
        <v>16</v>
      </c>
      <c r="D622" s="2" t="s">
        <v>29</v>
      </c>
      <c r="E622" s="15">
        <v>37551</v>
      </c>
      <c r="F622" s="2">
        <v>1</v>
      </c>
      <c r="G622" s="15">
        <f>SalesData!$E622*SalesData!$F622</f>
        <v>37551</v>
      </c>
    </row>
    <row r="623" spans="1:7" x14ac:dyDescent="0.35">
      <c r="A623" s="16" t="s">
        <v>629</v>
      </c>
      <c r="B623" s="17">
        <v>45251</v>
      </c>
      <c r="C623" s="3" t="s">
        <v>89</v>
      </c>
      <c r="D623" s="3" t="s">
        <v>20</v>
      </c>
      <c r="E623" s="18">
        <v>47677</v>
      </c>
      <c r="F623" s="3">
        <v>4</v>
      </c>
      <c r="G623" s="18">
        <f>SalesData!$E623*SalesData!$F623</f>
        <v>190708</v>
      </c>
    </row>
    <row r="624" spans="1:7" x14ac:dyDescent="0.35">
      <c r="A624" s="13" t="s">
        <v>630</v>
      </c>
      <c r="B624" s="14">
        <v>45182</v>
      </c>
      <c r="C624" s="2" t="s">
        <v>16</v>
      </c>
      <c r="D624" s="2" t="s">
        <v>20</v>
      </c>
      <c r="E624" s="15">
        <v>38083</v>
      </c>
      <c r="F624" s="2">
        <v>10</v>
      </c>
      <c r="G624" s="15">
        <f>SalesData!$E624*SalesData!$F624</f>
        <v>380830</v>
      </c>
    </row>
    <row r="625" spans="1:7" x14ac:dyDescent="0.35">
      <c r="A625" s="16" t="s">
        <v>631</v>
      </c>
      <c r="B625" s="17">
        <v>45182</v>
      </c>
      <c r="C625" s="3" t="s">
        <v>16</v>
      </c>
      <c r="D625" s="3" t="s">
        <v>25</v>
      </c>
      <c r="E625" s="18">
        <v>26256</v>
      </c>
      <c r="F625" s="3">
        <v>1</v>
      </c>
      <c r="G625" s="18">
        <f>SalesData!$E625*SalesData!$F625</f>
        <v>26256</v>
      </c>
    </row>
    <row r="626" spans="1:7" x14ac:dyDescent="0.35">
      <c r="A626" s="13" t="s">
        <v>632</v>
      </c>
      <c r="B626" s="14">
        <v>45247</v>
      </c>
      <c r="C626" s="2" t="s">
        <v>89</v>
      </c>
      <c r="D626" s="2" t="s">
        <v>23</v>
      </c>
      <c r="E626" s="15">
        <v>45567</v>
      </c>
      <c r="F626" s="2">
        <v>7</v>
      </c>
      <c r="G626" s="15">
        <f>SalesData!$E626*SalesData!$F626</f>
        <v>318969</v>
      </c>
    </row>
    <row r="627" spans="1:7" x14ac:dyDescent="0.35">
      <c r="A627" s="16" t="s">
        <v>633</v>
      </c>
      <c r="B627" s="17">
        <v>45123</v>
      </c>
      <c r="C627" s="3" t="s">
        <v>14</v>
      </c>
      <c r="D627" s="3" t="s">
        <v>23</v>
      </c>
      <c r="E627" s="18">
        <v>36676</v>
      </c>
      <c r="F627" s="3">
        <v>8</v>
      </c>
      <c r="G627" s="18">
        <f>SalesData!$E627*SalesData!$F627</f>
        <v>293408</v>
      </c>
    </row>
    <row r="628" spans="1:7" x14ac:dyDescent="0.35">
      <c r="A628" s="13" t="s">
        <v>634</v>
      </c>
      <c r="B628" s="14">
        <v>45284</v>
      </c>
      <c r="C628" s="2" t="s">
        <v>89</v>
      </c>
      <c r="D628" s="2" t="s">
        <v>23</v>
      </c>
      <c r="E628" s="15">
        <v>5258</v>
      </c>
      <c r="F628" s="2">
        <v>8</v>
      </c>
      <c r="G628" s="15">
        <f>SalesData!$E628*SalesData!$F628</f>
        <v>42064</v>
      </c>
    </row>
    <row r="629" spans="1:7" x14ac:dyDescent="0.35">
      <c r="A629" s="16" t="s">
        <v>635</v>
      </c>
      <c r="B629" s="17">
        <v>44929</v>
      </c>
      <c r="C629" s="3" t="s">
        <v>89</v>
      </c>
      <c r="D629" s="3" t="s">
        <v>20</v>
      </c>
      <c r="E629" s="18">
        <v>24260</v>
      </c>
      <c r="F629" s="3">
        <v>9</v>
      </c>
      <c r="G629" s="18">
        <f>SalesData!$E629*SalesData!$F629</f>
        <v>218340</v>
      </c>
    </row>
    <row r="630" spans="1:7" x14ac:dyDescent="0.35">
      <c r="A630" s="13" t="s">
        <v>636</v>
      </c>
      <c r="B630" s="14">
        <v>45013</v>
      </c>
      <c r="C630" s="2" t="s">
        <v>31</v>
      </c>
      <c r="D630" s="2" t="s">
        <v>20</v>
      </c>
      <c r="E630" s="15">
        <v>32663</v>
      </c>
      <c r="F630" s="2">
        <v>4</v>
      </c>
      <c r="G630" s="15">
        <f>SalesData!$E630*SalesData!$F630</f>
        <v>130652</v>
      </c>
    </row>
    <row r="631" spans="1:7" x14ac:dyDescent="0.35">
      <c r="A631" s="13" t="s">
        <v>637</v>
      </c>
      <c r="B631" s="14">
        <v>45134</v>
      </c>
      <c r="C631" s="2" t="s">
        <v>31</v>
      </c>
      <c r="D631" s="2" t="s">
        <v>20</v>
      </c>
      <c r="E631" s="15">
        <v>36742</v>
      </c>
      <c r="F631" s="2">
        <v>8</v>
      </c>
      <c r="G631" s="15">
        <f>SalesData!$E631*SalesData!$F631</f>
        <v>293936</v>
      </c>
    </row>
    <row r="632" spans="1:7" x14ac:dyDescent="0.35">
      <c r="A632" s="16" t="s">
        <v>638</v>
      </c>
      <c r="B632" s="17">
        <v>45187</v>
      </c>
      <c r="C632" s="3" t="s">
        <v>31</v>
      </c>
      <c r="D632" s="3" t="s">
        <v>20</v>
      </c>
      <c r="E632" s="18">
        <v>37764</v>
      </c>
      <c r="F632" s="3">
        <v>1</v>
      </c>
      <c r="G632" s="18">
        <f>SalesData!$E632*SalesData!$F632</f>
        <v>37764</v>
      </c>
    </row>
    <row r="633" spans="1:7" x14ac:dyDescent="0.35">
      <c r="A633" s="13" t="s">
        <v>639</v>
      </c>
      <c r="B633" s="14">
        <v>45069</v>
      </c>
      <c r="C633" s="2" t="s">
        <v>89</v>
      </c>
      <c r="D633" s="2" t="s">
        <v>23</v>
      </c>
      <c r="E633" s="15">
        <v>794</v>
      </c>
      <c r="F633" s="2">
        <v>5</v>
      </c>
      <c r="G633" s="15">
        <f>SalesData!$E633*SalesData!$F633</f>
        <v>3970</v>
      </c>
    </row>
    <row r="634" spans="1:7" x14ac:dyDescent="0.35">
      <c r="A634" s="16" t="s">
        <v>640</v>
      </c>
      <c r="B634" s="17">
        <v>45203</v>
      </c>
      <c r="C634" s="3" t="s">
        <v>16</v>
      </c>
      <c r="D634" s="3" t="s">
        <v>17</v>
      </c>
      <c r="E634" s="18">
        <v>31657</v>
      </c>
      <c r="F634" s="3">
        <v>1</v>
      </c>
      <c r="G634" s="18">
        <f>SalesData!$E634*SalesData!$F634</f>
        <v>31657</v>
      </c>
    </row>
    <row r="635" spans="1:7" x14ac:dyDescent="0.35">
      <c r="A635" s="13" t="s">
        <v>641</v>
      </c>
      <c r="B635" s="14">
        <v>45271</v>
      </c>
      <c r="C635" s="2" t="s">
        <v>16</v>
      </c>
      <c r="D635" s="2" t="s">
        <v>17</v>
      </c>
      <c r="E635" s="15">
        <v>347</v>
      </c>
      <c r="F635" s="2">
        <v>10</v>
      </c>
      <c r="G635" s="15">
        <f>SalesData!$E635*SalesData!$F635</f>
        <v>3470</v>
      </c>
    </row>
    <row r="636" spans="1:7" x14ac:dyDescent="0.35">
      <c r="A636" s="16" t="s">
        <v>642</v>
      </c>
      <c r="B636" s="17">
        <v>45242</v>
      </c>
      <c r="C636" s="3" t="s">
        <v>89</v>
      </c>
      <c r="D636" s="3" t="s">
        <v>29</v>
      </c>
      <c r="E636" s="18">
        <v>30239</v>
      </c>
      <c r="F636" s="3">
        <v>4</v>
      </c>
      <c r="G636" s="18">
        <f>SalesData!$E636*SalesData!$F636</f>
        <v>120956</v>
      </c>
    </row>
    <row r="637" spans="1:7" x14ac:dyDescent="0.35">
      <c r="A637" s="13" t="s">
        <v>643</v>
      </c>
      <c r="B637" s="14">
        <v>45057</v>
      </c>
      <c r="C637" s="2" t="s">
        <v>14</v>
      </c>
      <c r="D637" s="2" t="s">
        <v>29</v>
      </c>
      <c r="E637" s="15">
        <v>25171</v>
      </c>
      <c r="F637" s="2">
        <v>4</v>
      </c>
      <c r="G637" s="15">
        <f>SalesData!$E637*SalesData!$F637</f>
        <v>100684</v>
      </c>
    </row>
    <row r="638" spans="1:7" x14ac:dyDescent="0.35">
      <c r="A638" s="16" t="s">
        <v>644</v>
      </c>
      <c r="B638" s="17">
        <v>45044</v>
      </c>
      <c r="C638" s="3" t="s">
        <v>16</v>
      </c>
      <c r="D638" s="3" t="s">
        <v>17</v>
      </c>
      <c r="E638" s="18">
        <v>1927</v>
      </c>
      <c r="F638" s="3">
        <v>3</v>
      </c>
      <c r="G638" s="18">
        <f>SalesData!$E638*SalesData!$F638</f>
        <v>5781</v>
      </c>
    </row>
    <row r="639" spans="1:7" x14ac:dyDescent="0.35">
      <c r="A639" s="13" t="s">
        <v>645</v>
      </c>
      <c r="B639" s="14">
        <v>45208</v>
      </c>
      <c r="C639" s="2" t="s">
        <v>16</v>
      </c>
      <c r="D639" s="2" t="s">
        <v>20</v>
      </c>
      <c r="E639" s="15">
        <v>3735</v>
      </c>
      <c r="F639" s="2">
        <v>4</v>
      </c>
      <c r="G639" s="15">
        <f>SalesData!$E639*SalesData!$F639</f>
        <v>14940</v>
      </c>
    </row>
    <row r="640" spans="1:7" x14ac:dyDescent="0.35">
      <c r="A640" s="16" t="s">
        <v>646</v>
      </c>
      <c r="B640" s="17">
        <v>44938</v>
      </c>
      <c r="C640" s="3" t="s">
        <v>14</v>
      </c>
      <c r="D640" s="3" t="s">
        <v>20</v>
      </c>
      <c r="E640" s="18">
        <v>16426</v>
      </c>
      <c r="F640" s="3">
        <v>7</v>
      </c>
      <c r="G640" s="18">
        <f>SalesData!$E640*SalesData!$F640</f>
        <v>114982</v>
      </c>
    </row>
    <row r="641" spans="1:7" x14ac:dyDescent="0.35">
      <c r="A641" s="13" t="s">
        <v>647</v>
      </c>
      <c r="B641" s="14">
        <v>45100</v>
      </c>
      <c r="C641" s="2" t="s">
        <v>16</v>
      </c>
      <c r="D641" s="2" t="s">
        <v>25</v>
      </c>
      <c r="E641" s="15">
        <v>8311</v>
      </c>
      <c r="F641" s="2">
        <v>7</v>
      </c>
      <c r="G641" s="15">
        <f>SalesData!$E641*SalesData!$F641</f>
        <v>58177</v>
      </c>
    </row>
    <row r="642" spans="1:7" x14ac:dyDescent="0.35">
      <c r="A642" s="16" t="s">
        <v>648</v>
      </c>
      <c r="B642" s="17">
        <v>45263</v>
      </c>
      <c r="C642" s="3" t="s">
        <v>31</v>
      </c>
      <c r="D642" s="3" t="s">
        <v>25</v>
      </c>
      <c r="E642" s="18">
        <v>46395</v>
      </c>
      <c r="F642" s="3">
        <v>3</v>
      </c>
      <c r="G642" s="18">
        <f>SalesData!$E642*SalesData!$F642</f>
        <v>139185</v>
      </c>
    </row>
    <row r="643" spans="1:7" x14ac:dyDescent="0.35">
      <c r="A643" s="16" t="s">
        <v>649</v>
      </c>
      <c r="B643" s="17">
        <v>45260</v>
      </c>
      <c r="C643" s="3" t="s">
        <v>16</v>
      </c>
      <c r="D643" s="3" t="s">
        <v>25</v>
      </c>
      <c r="E643" s="18">
        <v>20147</v>
      </c>
      <c r="F643" s="3">
        <v>4</v>
      </c>
      <c r="G643" s="18">
        <f>SalesData!$E643*SalesData!$F643</f>
        <v>80588</v>
      </c>
    </row>
    <row r="644" spans="1:7" x14ac:dyDescent="0.35">
      <c r="A644" s="13" t="s">
        <v>650</v>
      </c>
      <c r="B644" s="14">
        <v>44954</v>
      </c>
      <c r="C644" s="2" t="s">
        <v>16</v>
      </c>
      <c r="D644" s="2" t="s">
        <v>23</v>
      </c>
      <c r="E644" s="15">
        <v>33198</v>
      </c>
      <c r="F644" s="2">
        <v>10</v>
      </c>
      <c r="G644" s="15">
        <f>SalesData!$E644*SalesData!$F644</f>
        <v>331980</v>
      </c>
    </row>
    <row r="645" spans="1:7" x14ac:dyDescent="0.35">
      <c r="A645" s="16" t="s">
        <v>651</v>
      </c>
      <c r="B645" s="17">
        <v>45115</v>
      </c>
      <c r="C645" s="3" t="s">
        <v>89</v>
      </c>
      <c r="D645" s="3" t="s">
        <v>20</v>
      </c>
      <c r="E645" s="18">
        <v>43366</v>
      </c>
      <c r="F645" s="3">
        <v>6</v>
      </c>
      <c r="G645" s="18">
        <f>SalesData!$E645*SalesData!$F645</f>
        <v>260196</v>
      </c>
    </row>
    <row r="646" spans="1:7" x14ac:dyDescent="0.35">
      <c r="A646" s="13" t="s">
        <v>652</v>
      </c>
      <c r="B646" s="14">
        <v>45221</v>
      </c>
      <c r="C646" s="2" t="s">
        <v>14</v>
      </c>
      <c r="D646" s="2" t="s">
        <v>25</v>
      </c>
      <c r="E646" s="15">
        <v>38784</v>
      </c>
      <c r="F646" s="2">
        <v>5</v>
      </c>
      <c r="G646" s="15">
        <f>SalesData!$E646*SalesData!$F646</f>
        <v>193920</v>
      </c>
    </row>
    <row r="647" spans="1:7" x14ac:dyDescent="0.35">
      <c r="A647" s="16" t="s">
        <v>653</v>
      </c>
      <c r="B647" s="17">
        <v>45178</v>
      </c>
      <c r="C647" s="3" t="s">
        <v>16</v>
      </c>
      <c r="D647" s="3" t="s">
        <v>20</v>
      </c>
      <c r="E647" s="18">
        <v>19002</v>
      </c>
      <c r="F647" s="3">
        <v>6</v>
      </c>
      <c r="G647" s="18">
        <f>SalesData!$E647*SalesData!$F647</f>
        <v>114012</v>
      </c>
    </row>
    <row r="648" spans="1:7" x14ac:dyDescent="0.35">
      <c r="A648" s="13" t="s">
        <v>654</v>
      </c>
      <c r="B648" s="14">
        <v>45249</v>
      </c>
      <c r="C648" s="2" t="s">
        <v>31</v>
      </c>
      <c r="D648" s="2" t="s">
        <v>25</v>
      </c>
      <c r="E648" s="15">
        <v>39771</v>
      </c>
      <c r="F648" s="2">
        <v>9</v>
      </c>
      <c r="G648" s="15">
        <f>SalesData!$E648*SalesData!$F648</f>
        <v>357939</v>
      </c>
    </row>
    <row r="649" spans="1:7" x14ac:dyDescent="0.35">
      <c r="A649" s="16" t="s">
        <v>655</v>
      </c>
      <c r="B649" s="17">
        <v>45144</v>
      </c>
      <c r="C649" s="3" t="s">
        <v>14</v>
      </c>
      <c r="D649" s="3" t="s">
        <v>25</v>
      </c>
      <c r="E649" s="18">
        <v>6129</v>
      </c>
      <c r="F649" s="3">
        <v>7</v>
      </c>
      <c r="G649" s="18">
        <f>SalesData!$E649*SalesData!$F649</f>
        <v>42903</v>
      </c>
    </row>
    <row r="650" spans="1:7" x14ac:dyDescent="0.35">
      <c r="A650" s="13" t="s">
        <v>656</v>
      </c>
      <c r="B650" s="14">
        <v>44943</v>
      </c>
      <c r="C650" s="2" t="s">
        <v>89</v>
      </c>
      <c r="D650" s="2" t="s">
        <v>17</v>
      </c>
      <c r="E650" s="15">
        <v>29146</v>
      </c>
      <c r="F650" s="2">
        <v>4</v>
      </c>
      <c r="G650" s="15">
        <f>SalesData!$E650*SalesData!$F650</f>
        <v>116584</v>
      </c>
    </row>
    <row r="651" spans="1:7" x14ac:dyDescent="0.35">
      <c r="A651" s="16" t="s">
        <v>657</v>
      </c>
      <c r="B651" s="17">
        <v>45127</v>
      </c>
      <c r="C651" s="3" t="s">
        <v>31</v>
      </c>
      <c r="D651" s="3" t="s">
        <v>23</v>
      </c>
      <c r="E651" s="18">
        <v>34742</v>
      </c>
      <c r="F651" s="3">
        <v>9</v>
      </c>
      <c r="G651" s="18">
        <f>SalesData!$E651*SalesData!$F651</f>
        <v>312678</v>
      </c>
    </row>
    <row r="652" spans="1:7" x14ac:dyDescent="0.35">
      <c r="A652" s="13" t="s">
        <v>658</v>
      </c>
      <c r="B652" s="14">
        <v>45262</v>
      </c>
      <c r="C652" s="2" t="s">
        <v>16</v>
      </c>
      <c r="D652" s="2" t="s">
        <v>17</v>
      </c>
      <c r="E652" s="15">
        <v>13872</v>
      </c>
      <c r="F652" s="2">
        <v>1</v>
      </c>
      <c r="G652" s="15">
        <f>SalesData!$E652*SalesData!$F652</f>
        <v>13872</v>
      </c>
    </row>
    <row r="653" spans="1:7" x14ac:dyDescent="0.35">
      <c r="A653" s="16" t="s">
        <v>658</v>
      </c>
      <c r="B653" s="17">
        <v>45262</v>
      </c>
      <c r="C653" s="3" t="s">
        <v>16</v>
      </c>
      <c r="D653" s="3" t="s">
        <v>17</v>
      </c>
      <c r="E653" s="18">
        <v>13872</v>
      </c>
      <c r="F653" s="3">
        <v>1</v>
      </c>
      <c r="G653" s="18">
        <f>SalesData!$E653*SalesData!$F653</f>
        <v>13872</v>
      </c>
    </row>
    <row r="654" spans="1:7" x14ac:dyDescent="0.35">
      <c r="A654" s="13" t="s">
        <v>659</v>
      </c>
      <c r="B654" s="14">
        <v>44953</v>
      </c>
      <c r="C654" s="2" t="s">
        <v>31</v>
      </c>
      <c r="D654" s="2" t="s">
        <v>20</v>
      </c>
      <c r="E654" s="15">
        <v>4655</v>
      </c>
      <c r="F654" s="2">
        <v>8</v>
      </c>
      <c r="G654" s="15">
        <f>SalesData!$E654*SalesData!$F654</f>
        <v>37240</v>
      </c>
    </row>
    <row r="655" spans="1:7" x14ac:dyDescent="0.35">
      <c r="A655" s="16" t="s">
        <v>660</v>
      </c>
      <c r="B655" s="17">
        <v>45163</v>
      </c>
      <c r="C655" s="3" t="s">
        <v>89</v>
      </c>
      <c r="D655" s="3" t="s">
        <v>17</v>
      </c>
      <c r="E655" s="18">
        <v>28971</v>
      </c>
      <c r="F655" s="3">
        <v>8</v>
      </c>
      <c r="G655" s="18">
        <f>SalesData!$E655*SalesData!$F655</f>
        <v>231768</v>
      </c>
    </row>
    <row r="656" spans="1:7" x14ac:dyDescent="0.35">
      <c r="A656" s="13" t="s">
        <v>661</v>
      </c>
      <c r="B656" s="14">
        <v>45086</v>
      </c>
      <c r="C656" s="2" t="s">
        <v>14</v>
      </c>
      <c r="D656" s="2" t="s">
        <v>25</v>
      </c>
      <c r="E656" s="15">
        <v>31950</v>
      </c>
      <c r="F656" s="2">
        <v>9</v>
      </c>
      <c r="G656" s="15">
        <f>SalesData!$E656*SalesData!$F656</f>
        <v>287550</v>
      </c>
    </row>
    <row r="657" spans="1:7" x14ac:dyDescent="0.35">
      <c r="A657" s="16" t="s">
        <v>662</v>
      </c>
      <c r="B657" s="17">
        <v>45214</v>
      </c>
      <c r="C657" s="3" t="s">
        <v>89</v>
      </c>
      <c r="D657" s="3" t="s">
        <v>25</v>
      </c>
      <c r="E657" s="18">
        <v>11175</v>
      </c>
      <c r="F657" s="3">
        <v>7</v>
      </c>
      <c r="G657" s="18">
        <f>SalesData!$E657*SalesData!$F657</f>
        <v>78225</v>
      </c>
    </row>
    <row r="658" spans="1:7" x14ac:dyDescent="0.35">
      <c r="A658" s="13" t="s">
        <v>662</v>
      </c>
      <c r="B658" s="14">
        <v>45214</v>
      </c>
      <c r="C658" s="2" t="s">
        <v>89</v>
      </c>
      <c r="D658" s="2" t="s">
        <v>25</v>
      </c>
      <c r="E658" s="15">
        <v>11175</v>
      </c>
      <c r="F658" s="2">
        <v>7</v>
      </c>
      <c r="G658" s="15">
        <f>SalesData!$E658*SalesData!$F658</f>
        <v>78225</v>
      </c>
    </row>
    <row r="659" spans="1:7" x14ac:dyDescent="0.35">
      <c r="A659" s="16" t="s">
        <v>663</v>
      </c>
      <c r="B659" s="17">
        <v>44956</v>
      </c>
      <c r="C659" s="3" t="s">
        <v>31</v>
      </c>
      <c r="D659" s="3" t="s">
        <v>29</v>
      </c>
      <c r="E659" s="18">
        <v>327</v>
      </c>
      <c r="F659" s="3">
        <v>5</v>
      </c>
      <c r="G659" s="18">
        <f>SalesData!$E659*SalesData!$F659</f>
        <v>1635</v>
      </c>
    </row>
    <row r="660" spans="1:7" x14ac:dyDescent="0.35">
      <c r="A660" s="13" t="s">
        <v>664</v>
      </c>
      <c r="B660" s="14">
        <v>44931</v>
      </c>
      <c r="C660" s="2" t="s">
        <v>31</v>
      </c>
      <c r="D660" s="2" t="s">
        <v>25</v>
      </c>
      <c r="E660" s="15">
        <v>35002</v>
      </c>
      <c r="F660" s="2">
        <v>7</v>
      </c>
      <c r="G660" s="15">
        <f>SalesData!$E660*SalesData!$F660</f>
        <v>245014</v>
      </c>
    </row>
    <row r="661" spans="1:7" x14ac:dyDescent="0.35">
      <c r="A661" s="16" t="s">
        <v>665</v>
      </c>
      <c r="B661" s="17">
        <v>45069</v>
      </c>
      <c r="C661" s="3" t="s">
        <v>16</v>
      </c>
      <c r="D661" s="3" t="s">
        <v>17</v>
      </c>
      <c r="E661" s="18">
        <v>21920</v>
      </c>
      <c r="F661" s="3">
        <v>6</v>
      </c>
      <c r="G661" s="18">
        <f>SalesData!$E661*SalesData!$F661</f>
        <v>131520</v>
      </c>
    </row>
    <row r="662" spans="1:7" x14ac:dyDescent="0.35">
      <c r="A662" s="13" t="s">
        <v>666</v>
      </c>
      <c r="B662" s="14">
        <v>45255</v>
      </c>
      <c r="C662" s="2" t="s">
        <v>14</v>
      </c>
      <c r="D662" s="2" t="s">
        <v>17</v>
      </c>
      <c r="E662" s="15">
        <v>21828</v>
      </c>
      <c r="F662" s="2">
        <v>5</v>
      </c>
      <c r="G662" s="15">
        <f>SalesData!$E662*SalesData!$F662</f>
        <v>109140</v>
      </c>
    </row>
    <row r="663" spans="1:7" x14ac:dyDescent="0.35">
      <c r="A663" s="16" t="s">
        <v>667</v>
      </c>
      <c r="B663" s="17">
        <v>45102</v>
      </c>
      <c r="C663" s="3" t="s">
        <v>16</v>
      </c>
      <c r="D663" s="3" t="s">
        <v>29</v>
      </c>
      <c r="E663" s="18">
        <v>20175</v>
      </c>
      <c r="F663" s="3">
        <v>6</v>
      </c>
      <c r="G663" s="18">
        <f>SalesData!$E663*SalesData!$F663</f>
        <v>121050</v>
      </c>
    </row>
    <row r="664" spans="1:7" x14ac:dyDescent="0.35">
      <c r="A664" s="13" t="s">
        <v>668</v>
      </c>
      <c r="B664" s="14">
        <v>45161</v>
      </c>
      <c r="C664" s="2" t="s">
        <v>89</v>
      </c>
      <c r="D664" s="2" t="s">
        <v>23</v>
      </c>
      <c r="E664" s="15">
        <v>41693</v>
      </c>
      <c r="F664" s="2">
        <v>5</v>
      </c>
      <c r="G664" s="15">
        <f>SalesData!$E664*SalesData!$F664</f>
        <v>208465</v>
      </c>
    </row>
    <row r="665" spans="1:7" x14ac:dyDescent="0.35">
      <c r="A665" s="16" t="s">
        <v>669</v>
      </c>
      <c r="B665" s="17">
        <v>45092</v>
      </c>
      <c r="C665" s="3" t="s">
        <v>14</v>
      </c>
      <c r="D665" s="3" t="s">
        <v>25</v>
      </c>
      <c r="E665" s="18">
        <v>13296</v>
      </c>
      <c r="F665" s="3">
        <v>8</v>
      </c>
      <c r="G665" s="18">
        <f>SalesData!$E665*SalesData!$F665</f>
        <v>106368</v>
      </c>
    </row>
    <row r="666" spans="1:7" x14ac:dyDescent="0.35">
      <c r="A666" s="16" t="s">
        <v>670</v>
      </c>
      <c r="B666" s="17">
        <v>45229</v>
      </c>
      <c r="C666" s="3" t="s">
        <v>16</v>
      </c>
      <c r="D666" s="3" t="s">
        <v>23</v>
      </c>
      <c r="E666" s="18">
        <v>41963</v>
      </c>
      <c r="F666" s="3">
        <v>3</v>
      </c>
      <c r="G666" s="18">
        <f>SalesData!$E666*SalesData!$F666</f>
        <v>125889</v>
      </c>
    </row>
    <row r="667" spans="1:7" x14ac:dyDescent="0.35">
      <c r="A667" s="13" t="s">
        <v>671</v>
      </c>
      <c r="B667" s="14">
        <v>45006</v>
      </c>
      <c r="C667" s="2" t="s">
        <v>16</v>
      </c>
      <c r="D667" s="2" t="s">
        <v>17</v>
      </c>
      <c r="E667" s="15">
        <v>26095</v>
      </c>
      <c r="F667" s="2">
        <v>9</v>
      </c>
      <c r="G667" s="15">
        <f>SalesData!$E667*SalesData!$F667</f>
        <v>234855</v>
      </c>
    </row>
    <row r="668" spans="1:7" x14ac:dyDescent="0.35">
      <c r="A668" s="16" t="s">
        <v>672</v>
      </c>
      <c r="B668" s="17">
        <v>45047</v>
      </c>
      <c r="C668" s="3" t="s">
        <v>14</v>
      </c>
      <c r="D668" s="3" t="s">
        <v>29</v>
      </c>
      <c r="E668" s="18">
        <v>23122</v>
      </c>
      <c r="F668" s="3">
        <v>4</v>
      </c>
      <c r="G668" s="18">
        <f>SalesData!$E668*SalesData!$F668</f>
        <v>92488</v>
      </c>
    </row>
    <row r="669" spans="1:7" x14ac:dyDescent="0.35">
      <c r="A669" s="13" t="s">
        <v>673</v>
      </c>
      <c r="B669" s="14">
        <v>45129</v>
      </c>
      <c r="C669" s="2" t="s">
        <v>89</v>
      </c>
      <c r="D669" s="2" t="s">
        <v>23</v>
      </c>
      <c r="E669" s="15">
        <v>46041</v>
      </c>
      <c r="F669" s="2">
        <v>5</v>
      </c>
      <c r="G669" s="15">
        <f>SalesData!$E669*SalesData!$F669</f>
        <v>230205</v>
      </c>
    </row>
    <row r="670" spans="1:7" x14ac:dyDescent="0.35">
      <c r="A670" s="16" t="s">
        <v>674</v>
      </c>
      <c r="B670" s="17">
        <v>45168</v>
      </c>
      <c r="C670" s="3" t="s">
        <v>16</v>
      </c>
      <c r="D670" s="3" t="s">
        <v>17</v>
      </c>
      <c r="E670" s="18">
        <v>45920</v>
      </c>
      <c r="F670" s="3">
        <v>2</v>
      </c>
      <c r="G670" s="18">
        <f>SalesData!$E670*SalesData!$F670</f>
        <v>91840</v>
      </c>
    </row>
    <row r="671" spans="1:7" x14ac:dyDescent="0.35">
      <c r="A671" s="13" t="s">
        <v>675</v>
      </c>
      <c r="B671" s="14">
        <v>45081</v>
      </c>
      <c r="C671" s="2" t="s">
        <v>14</v>
      </c>
      <c r="D671" s="2" t="s">
        <v>17</v>
      </c>
      <c r="E671" s="15">
        <v>30865</v>
      </c>
      <c r="F671" s="2">
        <v>4</v>
      </c>
      <c r="G671" s="15">
        <f>SalesData!$E671*SalesData!$F671</f>
        <v>123460</v>
      </c>
    </row>
    <row r="672" spans="1:7" x14ac:dyDescent="0.35">
      <c r="A672" s="16" t="s">
        <v>676</v>
      </c>
      <c r="B672" s="17">
        <v>45180</v>
      </c>
      <c r="C672" s="3" t="s">
        <v>16</v>
      </c>
      <c r="D672" s="3" t="s">
        <v>17</v>
      </c>
      <c r="E672" s="18">
        <v>30931</v>
      </c>
      <c r="F672" s="3">
        <v>9</v>
      </c>
      <c r="G672" s="18">
        <f>SalesData!$E672*SalesData!$F672</f>
        <v>278379</v>
      </c>
    </row>
    <row r="673" spans="1:7" x14ac:dyDescent="0.35">
      <c r="A673" s="13" t="s">
        <v>677</v>
      </c>
      <c r="B673" s="14">
        <v>45043</v>
      </c>
      <c r="C673" s="2" t="s">
        <v>31</v>
      </c>
      <c r="D673" s="2" t="s">
        <v>29</v>
      </c>
      <c r="E673" s="15">
        <v>40301</v>
      </c>
      <c r="F673" s="2">
        <v>5</v>
      </c>
      <c r="G673" s="15">
        <f>SalesData!$E673*SalesData!$F673</f>
        <v>201505</v>
      </c>
    </row>
    <row r="674" spans="1:7" x14ac:dyDescent="0.35">
      <c r="A674" s="16" t="s">
        <v>678</v>
      </c>
      <c r="B674" s="17">
        <v>44980</v>
      </c>
      <c r="C674" s="3" t="s">
        <v>31</v>
      </c>
      <c r="D674" s="3" t="s">
        <v>25</v>
      </c>
      <c r="E674" s="18">
        <v>30896</v>
      </c>
      <c r="F674" s="3">
        <v>3</v>
      </c>
      <c r="G674" s="18">
        <f>SalesData!$E674*SalesData!$F674</f>
        <v>92688</v>
      </c>
    </row>
    <row r="675" spans="1:7" x14ac:dyDescent="0.35">
      <c r="A675" s="13" t="s">
        <v>679</v>
      </c>
      <c r="B675" s="14">
        <v>45097</v>
      </c>
      <c r="C675" s="2" t="s">
        <v>89</v>
      </c>
      <c r="D675" s="2" t="s">
        <v>25</v>
      </c>
      <c r="E675" s="15">
        <v>17439</v>
      </c>
      <c r="F675" s="2">
        <v>5</v>
      </c>
      <c r="G675" s="15">
        <f>SalesData!$E675*SalesData!$F675</f>
        <v>87195</v>
      </c>
    </row>
    <row r="676" spans="1:7" x14ac:dyDescent="0.35">
      <c r="A676" s="13" t="s">
        <v>680</v>
      </c>
      <c r="B676" s="14">
        <v>45186</v>
      </c>
      <c r="C676" s="2" t="s">
        <v>31</v>
      </c>
      <c r="D676" s="2" t="s">
        <v>17</v>
      </c>
      <c r="E676" s="15">
        <v>5805</v>
      </c>
      <c r="F676" s="2">
        <v>6</v>
      </c>
      <c r="G676" s="15">
        <f>SalesData!$E676*SalesData!$F676</f>
        <v>34830</v>
      </c>
    </row>
    <row r="677" spans="1:7" x14ac:dyDescent="0.35">
      <c r="A677" s="16" t="s">
        <v>681</v>
      </c>
      <c r="B677" s="17">
        <v>45288</v>
      </c>
      <c r="C677" s="3" t="s">
        <v>16</v>
      </c>
      <c r="D677" s="3" t="s">
        <v>25</v>
      </c>
      <c r="E677" s="18">
        <v>16481</v>
      </c>
      <c r="F677" s="3">
        <v>4</v>
      </c>
      <c r="G677" s="18">
        <f>SalesData!$E677*SalesData!$F677</f>
        <v>65924</v>
      </c>
    </row>
    <row r="678" spans="1:7" x14ac:dyDescent="0.35">
      <c r="A678" s="13" t="s">
        <v>682</v>
      </c>
      <c r="B678" s="14">
        <v>45053</v>
      </c>
      <c r="C678" s="2" t="s">
        <v>89</v>
      </c>
      <c r="D678" s="2" t="s">
        <v>29</v>
      </c>
      <c r="E678" s="15">
        <v>29144</v>
      </c>
      <c r="F678" s="2">
        <v>5</v>
      </c>
      <c r="G678" s="15">
        <f>SalesData!$E678*SalesData!$F678</f>
        <v>145720</v>
      </c>
    </row>
    <row r="679" spans="1:7" x14ac:dyDescent="0.35">
      <c r="A679" s="16" t="s">
        <v>683</v>
      </c>
      <c r="B679" s="17">
        <v>45251</v>
      </c>
      <c r="C679" s="3" t="s">
        <v>16</v>
      </c>
      <c r="D679" s="3" t="s">
        <v>17</v>
      </c>
      <c r="E679" s="18">
        <v>12158</v>
      </c>
      <c r="F679" s="3">
        <v>1</v>
      </c>
      <c r="G679" s="18">
        <f>SalesData!$E679*SalesData!$F679</f>
        <v>12158</v>
      </c>
    </row>
    <row r="680" spans="1:7" x14ac:dyDescent="0.35">
      <c r="A680" s="13" t="s">
        <v>684</v>
      </c>
      <c r="B680" s="14">
        <v>45015</v>
      </c>
      <c r="C680" s="2" t="s">
        <v>89</v>
      </c>
      <c r="D680" s="2" t="s">
        <v>20</v>
      </c>
      <c r="E680" s="15">
        <v>42408</v>
      </c>
      <c r="F680" s="2">
        <v>5</v>
      </c>
      <c r="G680" s="15">
        <f>SalesData!$E680*SalesData!$F680</f>
        <v>212040</v>
      </c>
    </row>
    <row r="681" spans="1:7" x14ac:dyDescent="0.35">
      <c r="A681" s="16" t="s">
        <v>685</v>
      </c>
      <c r="B681" s="17">
        <v>45151</v>
      </c>
      <c r="C681" s="3" t="s">
        <v>14</v>
      </c>
      <c r="D681" s="3" t="s">
        <v>29</v>
      </c>
      <c r="E681" s="18">
        <v>8043</v>
      </c>
      <c r="F681" s="3">
        <v>10</v>
      </c>
      <c r="G681" s="18">
        <f>SalesData!$E681*SalesData!$F681</f>
        <v>80430</v>
      </c>
    </row>
    <row r="682" spans="1:7" x14ac:dyDescent="0.35">
      <c r="A682" s="13" t="s">
        <v>686</v>
      </c>
      <c r="B682" s="14">
        <v>45212</v>
      </c>
      <c r="C682" s="2" t="s">
        <v>14</v>
      </c>
      <c r="D682" s="2" t="s">
        <v>20</v>
      </c>
      <c r="E682" s="15">
        <v>22288</v>
      </c>
      <c r="F682" s="2">
        <v>3</v>
      </c>
      <c r="G682" s="15">
        <f>SalesData!$E682*SalesData!$F682</f>
        <v>66864</v>
      </c>
    </row>
    <row r="683" spans="1:7" x14ac:dyDescent="0.35">
      <c r="A683" s="16" t="s">
        <v>687</v>
      </c>
      <c r="B683" s="17">
        <v>45089</v>
      </c>
      <c r="C683" s="3" t="s">
        <v>31</v>
      </c>
      <c r="D683" s="3" t="s">
        <v>23</v>
      </c>
      <c r="E683" s="18">
        <v>35360</v>
      </c>
      <c r="F683" s="3">
        <v>7</v>
      </c>
      <c r="G683" s="18">
        <f>SalesData!$E683*SalesData!$F683</f>
        <v>247520</v>
      </c>
    </row>
    <row r="684" spans="1:7" x14ac:dyDescent="0.35">
      <c r="A684" s="13" t="s">
        <v>688</v>
      </c>
      <c r="B684" s="14">
        <v>45274</v>
      </c>
      <c r="C684" s="2" t="s">
        <v>14</v>
      </c>
      <c r="D684" s="2" t="s">
        <v>17</v>
      </c>
      <c r="E684" s="15">
        <v>28517</v>
      </c>
      <c r="F684" s="2">
        <v>3</v>
      </c>
      <c r="G684" s="15">
        <f>SalesData!$E684*SalesData!$F684</f>
        <v>85551</v>
      </c>
    </row>
    <row r="685" spans="1:7" x14ac:dyDescent="0.35">
      <c r="A685" s="16" t="s">
        <v>689</v>
      </c>
      <c r="B685" s="17">
        <v>44963</v>
      </c>
      <c r="C685" s="3" t="s">
        <v>31</v>
      </c>
      <c r="D685" s="3" t="s">
        <v>29</v>
      </c>
      <c r="E685" s="18">
        <v>12111</v>
      </c>
      <c r="F685" s="3">
        <v>1</v>
      </c>
      <c r="G685" s="18">
        <f>SalesData!$E685*SalesData!$F685</f>
        <v>12111</v>
      </c>
    </row>
    <row r="686" spans="1:7" x14ac:dyDescent="0.35">
      <c r="A686" s="13" t="s">
        <v>690</v>
      </c>
      <c r="B686" s="14">
        <v>45285</v>
      </c>
      <c r="C686" s="2" t="s">
        <v>31</v>
      </c>
      <c r="D686" s="2" t="s">
        <v>25</v>
      </c>
      <c r="E686" s="15">
        <v>44684</v>
      </c>
      <c r="F686" s="2">
        <v>6</v>
      </c>
      <c r="G686" s="15">
        <f>SalesData!$E686*SalesData!$F686</f>
        <v>268104</v>
      </c>
    </row>
    <row r="687" spans="1:7" x14ac:dyDescent="0.35">
      <c r="A687" s="16" t="s">
        <v>691</v>
      </c>
      <c r="B687" s="17">
        <v>45092</v>
      </c>
      <c r="C687" s="3" t="s">
        <v>14</v>
      </c>
      <c r="D687" s="3" t="s">
        <v>20</v>
      </c>
      <c r="E687" s="18">
        <v>7472</v>
      </c>
      <c r="F687" s="3">
        <v>4</v>
      </c>
      <c r="G687" s="18">
        <f>SalesData!$E687*SalesData!$F687</f>
        <v>29888</v>
      </c>
    </row>
    <row r="688" spans="1:7" x14ac:dyDescent="0.35">
      <c r="A688" s="13" t="s">
        <v>692</v>
      </c>
      <c r="B688" s="14">
        <v>45039</v>
      </c>
      <c r="C688" s="2" t="s">
        <v>14</v>
      </c>
      <c r="D688" s="2" t="s">
        <v>23</v>
      </c>
      <c r="E688" s="15">
        <v>16262</v>
      </c>
      <c r="F688" s="2">
        <v>5</v>
      </c>
      <c r="G688" s="15">
        <f>SalesData!$E688*SalesData!$F688</f>
        <v>81310</v>
      </c>
    </row>
    <row r="689" spans="1:7" x14ac:dyDescent="0.35">
      <c r="A689" s="16" t="s">
        <v>693</v>
      </c>
      <c r="B689" s="17">
        <v>45057</v>
      </c>
      <c r="C689" s="3" t="s">
        <v>16</v>
      </c>
      <c r="D689" s="3" t="s">
        <v>23</v>
      </c>
      <c r="E689" s="18">
        <v>43143</v>
      </c>
      <c r="F689" s="3">
        <v>6</v>
      </c>
      <c r="G689" s="18">
        <f>SalesData!$E689*SalesData!$F689</f>
        <v>258858</v>
      </c>
    </row>
    <row r="690" spans="1:7" x14ac:dyDescent="0.35">
      <c r="A690" s="13" t="s">
        <v>694</v>
      </c>
      <c r="B690" s="14">
        <v>44937</v>
      </c>
      <c r="C690" s="2" t="s">
        <v>14</v>
      </c>
      <c r="D690" s="2" t="s">
        <v>17</v>
      </c>
      <c r="E690" s="15">
        <v>9890</v>
      </c>
      <c r="F690" s="2">
        <v>6</v>
      </c>
      <c r="G690" s="15">
        <f>SalesData!$E690*SalesData!$F690</f>
        <v>59340</v>
      </c>
    </row>
    <row r="691" spans="1:7" x14ac:dyDescent="0.35">
      <c r="A691" s="16" t="s">
        <v>695</v>
      </c>
      <c r="B691" s="17">
        <v>45226</v>
      </c>
      <c r="C691" s="3" t="s">
        <v>14</v>
      </c>
      <c r="D691" s="3" t="s">
        <v>17</v>
      </c>
      <c r="E691" s="18">
        <v>40978</v>
      </c>
      <c r="F691" s="3">
        <v>5</v>
      </c>
      <c r="G691" s="18">
        <f>SalesData!$E691*SalesData!$F691</f>
        <v>204890</v>
      </c>
    </row>
    <row r="692" spans="1:7" x14ac:dyDescent="0.35">
      <c r="A692" s="13" t="s">
        <v>696</v>
      </c>
      <c r="B692" s="14">
        <v>45014</v>
      </c>
      <c r="C692" s="2" t="s">
        <v>89</v>
      </c>
      <c r="D692" s="2" t="s">
        <v>29</v>
      </c>
      <c r="E692" s="15">
        <v>11190</v>
      </c>
      <c r="F692" s="2">
        <v>5</v>
      </c>
      <c r="G692" s="15">
        <f>SalesData!$E692*SalesData!$F692</f>
        <v>55950</v>
      </c>
    </row>
    <row r="693" spans="1:7" x14ac:dyDescent="0.35">
      <c r="A693" s="16" t="s">
        <v>697</v>
      </c>
      <c r="B693" s="17">
        <v>45281</v>
      </c>
      <c r="C693" s="3" t="s">
        <v>31</v>
      </c>
      <c r="D693" s="3" t="s">
        <v>29</v>
      </c>
      <c r="E693" s="18">
        <v>34773</v>
      </c>
      <c r="F693" s="3">
        <v>8</v>
      </c>
      <c r="G693" s="18">
        <f>SalesData!$E693*SalesData!$F693</f>
        <v>278184</v>
      </c>
    </row>
    <row r="694" spans="1:7" x14ac:dyDescent="0.35">
      <c r="A694" s="13" t="s">
        <v>698</v>
      </c>
      <c r="B694" s="14">
        <v>45031</v>
      </c>
      <c r="C694" s="2" t="s">
        <v>16</v>
      </c>
      <c r="D694" s="2" t="s">
        <v>29</v>
      </c>
      <c r="E694" s="15">
        <v>18018</v>
      </c>
      <c r="F694" s="2">
        <v>5</v>
      </c>
      <c r="G694" s="15">
        <f>SalesData!$E694*SalesData!$F694</f>
        <v>90090</v>
      </c>
    </row>
    <row r="695" spans="1:7" x14ac:dyDescent="0.35">
      <c r="A695" s="16" t="s">
        <v>699</v>
      </c>
      <c r="B695" s="17">
        <v>45097</v>
      </c>
      <c r="C695" s="3" t="s">
        <v>16</v>
      </c>
      <c r="D695" s="3" t="s">
        <v>25</v>
      </c>
      <c r="E695" s="18">
        <v>3704</v>
      </c>
      <c r="F695" s="3">
        <v>8</v>
      </c>
      <c r="G695" s="18">
        <f>SalesData!$E695*SalesData!$F695</f>
        <v>29632</v>
      </c>
    </row>
    <row r="696" spans="1:7" x14ac:dyDescent="0.35">
      <c r="A696" s="13" t="s">
        <v>700</v>
      </c>
      <c r="B696" s="14">
        <v>45145</v>
      </c>
      <c r="C696" s="2" t="s">
        <v>14</v>
      </c>
      <c r="D696" s="2" t="s">
        <v>29</v>
      </c>
      <c r="E696" s="15">
        <v>46207</v>
      </c>
      <c r="F696" s="2">
        <v>6</v>
      </c>
      <c r="G696" s="15">
        <f>SalesData!$E696*SalesData!$F696</f>
        <v>277242</v>
      </c>
    </row>
    <row r="697" spans="1:7" x14ac:dyDescent="0.35">
      <c r="A697" s="16" t="s">
        <v>701</v>
      </c>
      <c r="B697" s="17">
        <v>45206</v>
      </c>
      <c r="C697" s="3" t="s">
        <v>31</v>
      </c>
      <c r="D697" s="3" t="s">
        <v>25</v>
      </c>
      <c r="E697" s="18">
        <v>31045</v>
      </c>
      <c r="F697" s="3">
        <v>2</v>
      </c>
      <c r="G697" s="18">
        <f>SalesData!$E697*SalesData!$F697</f>
        <v>62090</v>
      </c>
    </row>
    <row r="698" spans="1:7" x14ac:dyDescent="0.35">
      <c r="A698" s="13" t="s">
        <v>701</v>
      </c>
      <c r="B698" s="14">
        <v>45206</v>
      </c>
      <c r="C698" s="2" t="s">
        <v>31</v>
      </c>
      <c r="D698" s="2" t="s">
        <v>25</v>
      </c>
      <c r="E698" s="15">
        <v>31045</v>
      </c>
      <c r="F698" s="2">
        <v>2</v>
      </c>
      <c r="G698" s="15">
        <f>SalesData!$E698*SalesData!$F698</f>
        <v>62090</v>
      </c>
    </row>
    <row r="699" spans="1:7" x14ac:dyDescent="0.35">
      <c r="A699" s="16" t="s">
        <v>702</v>
      </c>
      <c r="B699" s="17">
        <v>45169</v>
      </c>
      <c r="C699" s="3" t="s">
        <v>14</v>
      </c>
      <c r="D699" s="3" t="s">
        <v>25</v>
      </c>
      <c r="E699" s="18">
        <v>36429</v>
      </c>
      <c r="F699" s="3">
        <v>9</v>
      </c>
      <c r="G699" s="18">
        <f>SalesData!$E699*SalesData!$F699</f>
        <v>327861</v>
      </c>
    </row>
    <row r="700" spans="1:7" x14ac:dyDescent="0.35">
      <c r="A700" s="13" t="s">
        <v>703</v>
      </c>
      <c r="B700" s="14">
        <v>45187</v>
      </c>
      <c r="C700" s="2" t="s">
        <v>16</v>
      </c>
      <c r="D700" s="2" t="s">
        <v>20</v>
      </c>
      <c r="E700" s="15">
        <v>1726</v>
      </c>
      <c r="F700" s="2">
        <v>10</v>
      </c>
      <c r="G700" s="15">
        <f>SalesData!$E700*SalesData!$F700</f>
        <v>17260</v>
      </c>
    </row>
    <row r="701" spans="1:7" x14ac:dyDescent="0.35">
      <c r="A701" s="16" t="s">
        <v>704</v>
      </c>
      <c r="B701" s="17">
        <v>44988</v>
      </c>
      <c r="C701" s="3" t="s">
        <v>16</v>
      </c>
      <c r="D701" s="3" t="s">
        <v>23</v>
      </c>
      <c r="E701" s="18">
        <v>34532</v>
      </c>
      <c r="F701" s="3">
        <v>1</v>
      </c>
      <c r="G701" s="18">
        <f>SalesData!$E701*SalesData!$F701</f>
        <v>34532</v>
      </c>
    </row>
    <row r="702" spans="1:7" x14ac:dyDescent="0.35">
      <c r="A702" s="13" t="s">
        <v>705</v>
      </c>
      <c r="B702" s="14">
        <v>44932</v>
      </c>
      <c r="C702" s="2" t="s">
        <v>31</v>
      </c>
      <c r="D702" s="2" t="s">
        <v>17</v>
      </c>
      <c r="E702" s="15">
        <v>5516</v>
      </c>
      <c r="F702" s="2">
        <v>5</v>
      </c>
      <c r="G702" s="15">
        <f>SalesData!$E702*SalesData!$F702</f>
        <v>27580</v>
      </c>
    </row>
    <row r="703" spans="1:7" x14ac:dyDescent="0.35">
      <c r="A703" s="16" t="s">
        <v>706</v>
      </c>
      <c r="B703" s="17">
        <v>44946</v>
      </c>
      <c r="C703" s="3" t="s">
        <v>16</v>
      </c>
      <c r="D703" s="3" t="s">
        <v>23</v>
      </c>
      <c r="E703" s="18">
        <v>37841</v>
      </c>
      <c r="F703" s="3">
        <v>10</v>
      </c>
      <c r="G703" s="18">
        <f>SalesData!$E703*SalesData!$F703</f>
        <v>378410</v>
      </c>
    </row>
    <row r="704" spans="1:7" x14ac:dyDescent="0.35">
      <c r="A704" s="13" t="s">
        <v>707</v>
      </c>
      <c r="B704" s="14">
        <v>45219</v>
      </c>
      <c r="C704" s="2" t="s">
        <v>31</v>
      </c>
      <c r="D704" s="2" t="s">
        <v>17</v>
      </c>
      <c r="E704" s="15">
        <v>37712</v>
      </c>
      <c r="F704" s="2">
        <v>6</v>
      </c>
      <c r="G704" s="15">
        <f>SalesData!$E704*SalesData!$F704</f>
        <v>226272</v>
      </c>
    </row>
    <row r="705" spans="1:7" x14ac:dyDescent="0.35">
      <c r="A705" s="16" t="s">
        <v>708</v>
      </c>
      <c r="B705" s="17">
        <v>45134</v>
      </c>
      <c r="C705" s="3" t="s">
        <v>89</v>
      </c>
      <c r="D705" s="3" t="s">
        <v>25</v>
      </c>
      <c r="E705" s="18">
        <v>4485</v>
      </c>
      <c r="F705" s="3">
        <v>3</v>
      </c>
      <c r="G705" s="18">
        <f>SalesData!$E705*SalesData!$F705</f>
        <v>13455</v>
      </c>
    </row>
    <row r="706" spans="1:7" x14ac:dyDescent="0.35">
      <c r="A706" s="13" t="s">
        <v>709</v>
      </c>
      <c r="B706" s="14">
        <v>45192</v>
      </c>
      <c r="C706" s="2" t="s">
        <v>16</v>
      </c>
      <c r="D706" s="2" t="s">
        <v>25</v>
      </c>
      <c r="E706" s="15">
        <v>23095</v>
      </c>
      <c r="F706" s="2">
        <v>9</v>
      </c>
      <c r="G706" s="15">
        <f>SalesData!$E706*SalesData!$F706</f>
        <v>207855</v>
      </c>
    </row>
    <row r="707" spans="1:7" x14ac:dyDescent="0.35">
      <c r="A707" s="16" t="s">
        <v>710</v>
      </c>
      <c r="B707" s="17">
        <v>45054</v>
      </c>
      <c r="C707" s="3" t="s">
        <v>16</v>
      </c>
      <c r="D707" s="3" t="s">
        <v>25</v>
      </c>
      <c r="E707" s="18">
        <v>11109</v>
      </c>
      <c r="F707" s="3">
        <v>10</v>
      </c>
      <c r="G707" s="18">
        <f>SalesData!$E707*SalesData!$F707</f>
        <v>111090</v>
      </c>
    </row>
    <row r="708" spans="1:7" x14ac:dyDescent="0.35">
      <c r="A708" s="13" t="s">
        <v>711</v>
      </c>
      <c r="B708" s="14">
        <v>45123</v>
      </c>
      <c r="C708" s="2" t="s">
        <v>89</v>
      </c>
      <c r="D708" s="2" t="s">
        <v>23</v>
      </c>
      <c r="E708" s="15">
        <v>43824</v>
      </c>
      <c r="F708" s="2">
        <v>7</v>
      </c>
      <c r="G708" s="15">
        <f>SalesData!$E708*SalesData!$F708</f>
        <v>306768</v>
      </c>
    </row>
    <row r="709" spans="1:7" x14ac:dyDescent="0.35">
      <c r="A709" s="13" t="s">
        <v>712</v>
      </c>
      <c r="B709" s="14">
        <v>45117</v>
      </c>
      <c r="C709" s="2" t="s">
        <v>16</v>
      </c>
      <c r="D709" s="2" t="s">
        <v>23</v>
      </c>
      <c r="E709" s="15">
        <v>46289</v>
      </c>
      <c r="F709" s="2">
        <v>5</v>
      </c>
      <c r="G709" s="15">
        <f>SalesData!$E709*SalesData!$F709</f>
        <v>231445</v>
      </c>
    </row>
    <row r="710" spans="1:7" x14ac:dyDescent="0.35">
      <c r="A710" s="16" t="s">
        <v>713</v>
      </c>
      <c r="B710" s="17">
        <v>44933</v>
      </c>
      <c r="C710" s="3" t="s">
        <v>31</v>
      </c>
      <c r="D710" s="3" t="s">
        <v>23</v>
      </c>
      <c r="E710" s="18">
        <v>45467</v>
      </c>
      <c r="F710" s="3">
        <v>2</v>
      </c>
      <c r="G710" s="18">
        <f>SalesData!$E710*SalesData!$F710</f>
        <v>90934</v>
      </c>
    </row>
    <row r="711" spans="1:7" x14ac:dyDescent="0.35">
      <c r="A711" s="13" t="s">
        <v>714</v>
      </c>
      <c r="B711" s="14">
        <v>45189</v>
      </c>
      <c r="C711" s="2" t="s">
        <v>14</v>
      </c>
      <c r="D711" s="2" t="s">
        <v>17</v>
      </c>
      <c r="E711" s="15">
        <v>49807</v>
      </c>
      <c r="F711" s="2">
        <v>3</v>
      </c>
      <c r="G711" s="15">
        <f>SalesData!$E711*SalesData!$F711</f>
        <v>149421</v>
      </c>
    </row>
    <row r="712" spans="1:7" x14ac:dyDescent="0.35">
      <c r="A712" s="16" t="s">
        <v>714</v>
      </c>
      <c r="B712" s="17">
        <v>45189</v>
      </c>
      <c r="C712" s="3" t="s">
        <v>14</v>
      </c>
      <c r="D712" s="3" t="s">
        <v>17</v>
      </c>
      <c r="E712" s="18">
        <v>49807</v>
      </c>
      <c r="F712" s="3">
        <v>3</v>
      </c>
      <c r="G712" s="18">
        <f>SalesData!$E712*SalesData!$F712</f>
        <v>149421</v>
      </c>
    </row>
    <row r="713" spans="1:7" x14ac:dyDescent="0.35">
      <c r="A713" s="13" t="s">
        <v>715</v>
      </c>
      <c r="B713" s="14">
        <v>45011</v>
      </c>
      <c r="C713" s="2" t="s">
        <v>14</v>
      </c>
      <c r="D713" s="2" t="s">
        <v>29</v>
      </c>
      <c r="E713" s="15">
        <v>34697</v>
      </c>
      <c r="F713" s="2">
        <v>10</v>
      </c>
      <c r="G713" s="15">
        <f>SalesData!$E713*SalesData!$F713</f>
        <v>346970</v>
      </c>
    </row>
    <row r="714" spans="1:7" x14ac:dyDescent="0.35">
      <c r="A714" s="16" t="s">
        <v>716</v>
      </c>
      <c r="B714" s="17">
        <v>45016</v>
      </c>
      <c r="C714" s="3" t="s">
        <v>89</v>
      </c>
      <c r="D714" s="3" t="s">
        <v>29</v>
      </c>
      <c r="E714" s="18">
        <v>30592</v>
      </c>
      <c r="F714" s="3">
        <v>9</v>
      </c>
      <c r="G714" s="18">
        <f>SalesData!$E714*SalesData!$F714</f>
        <v>275328</v>
      </c>
    </row>
    <row r="715" spans="1:7" x14ac:dyDescent="0.35">
      <c r="A715" s="13" t="s">
        <v>717</v>
      </c>
      <c r="B715" s="14">
        <v>44937</v>
      </c>
      <c r="C715" s="2" t="s">
        <v>89</v>
      </c>
      <c r="D715" s="2" t="s">
        <v>17</v>
      </c>
      <c r="E715" s="15">
        <v>44193</v>
      </c>
      <c r="F715" s="2">
        <v>4</v>
      </c>
      <c r="G715" s="15">
        <f>SalesData!$E715*SalesData!$F715</f>
        <v>176772</v>
      </c>
    </row>
    <row r="716" spans="1:7" x14ac:dyDescent="0.35">
      <c r="A716" s="16" t="s">
        <v>718</v>
      </c>
      <c r="B716" s="17">
        <v>45048</v>
      </c>
      <c r="C716" s="3" t="s">
        <v>16</v>
      </c>
      <c r="D716" s="3" t="s">
        <v>29</v>
      </c>
      <c r="E716" s="18">
        <v>10205</v>
      </c>
      <c r="F716" s="3">
        <v>1</v>
      </c>
      <c r="G716" s="18">
        <f>SalesData!$E716*SalesData!$F716</f>
        <v>10205</v>
      </c>
    </row>
    <row r="717" spans="1:7" x14ac:dyDescent="0.35">
      <c r="A717" s="13" t="s">
        <v>719</v>
      </c>
      <c r="B717" s="14">
        <v>45075</v>
      </c>
      <c r="C717" s="2" t="s">
        <v>16</v>
      </c>
      <c r="D717" s="2" t="s">
        <v>23</v>
      </c>
      <c r="E717" s="15">
        <v>27217</v>
      </c>
      <c r="F717" s="2">
        <v>1</v>
      </c>
      <c r="G717" s="15">
        <f>SalesData!$E717*SalesData!$F717</f>
        <v>27217</v>
      </c>
    </row>
    <row r="718" spans="1:7" x14ac:dyDescent="0.35">
      <c r="A718" s="16" t="s">
        <v>720</v>
      </c>
      <c r="B718" s="17">
        <v>45250</v>
      </c>
      <c r="C718" s="3" t="s">
        <v>89</v>
      </c>
      <c r="D718" s="3" t="s">
        <v>23</v>
      </c>
      <c r="E718" s="18">
        <v>31901</v>
      </c>
      <c r="F718" s="3">
        <v>3</v>
      </c>
      <c r="G718" s="18">
        <f>SalesData!$E718*SalesData!$F718</f>
        <v>95703</v>
      </c>
    </row>
    <row r="719" spans="1:7" x14ac:dyDescent="0.35">
      <c r="A719" s="13" t="s">
        <v>721</v>
      </c>
      <c r="B719" s="14">
        <v>45242</v>
      </c>
      <c r="C719" s="2" t="s">
        <v>89</v>
      </c>
      <c r="D719" s="2" t="s">
        <v>25</v>
      </c>
      <c r="E719" s="15">
        <v>6306</v>
      </c>
      <c r="F719" s="2">
        <v>6</v>
      </c>
      <c r="G719" s="15">
        <f>SalesData!$E719*SalesData!$F719</f>
        <v>37836</v>
      </c>
    </row>
    <row r="720" spans="1:7" x14ac:dyDescent="0.35">
      <c r="A720" s="16" t="s">
        <v>722</v>
      </c>
      <c r="B720" s="17">
        <v>44980</v>
      </c>
      <c r="C720" s="3" t="s">
        <v>89</v>
      </c>
      <c r="D720" s="3" t="s">
        <v>29</v>
      </c>
      <c r="E720" s="18">
        <v>21154</v>
      </c>
      <c r="F720" s="3">
        <v>10</v>
      </c>
      <c r="G720" s="18">
        <f>SalesData!$E720*SalesData!$F720</f>
        <v>211540</v>
      </c>
    </row>
    <row r="721" spans="1:7" x14ac:dyDescent="0.35">
      <c r="A721" s="13" t="s">
        <v>723</v>
      </c>
      <c r="B721" s="14">
        <v>45089</v>
      </c>
      <c r="C721" s="2" t="s">
        <v>89</v>
      </c>
      <c r="D721" s="2" t="s">
        <v>29</v>
      </c>
      <c r="E721" s="15">
        <v>44448</v>
      </c>
      <c r="F721" s="2">
        <v>3</v>
      </c>
      <c r="G721" s="15">
        <f>SalesData!$E721*SalesData!$F721</f>
        <v>133344</v>
      </c>
    </row>
    <row r="722" spans="1:7" x14ac:dyDescent="0.35">
      <c r="A722" s="16" t="s">
        <v>724</v>
      </c>
      <c r="B722" s="17">
        <v>45199</v>
      </c>
      <c r="C722" s="3" t="s">
        <v>31</v>
      </c>
      <c r="D722" s="3" t="s">
        <v>25</v>
      </c>
      <c r="E722" s="18">
        <v>3653</v>
      </c>
      <c r="F722" s="3">
        <v>8</v>
      </c>
      <c r="G722" s="18">
        <f>SalesData!$E722*SalesData!$F722</f>
        <v>29224</v>
      </c>
    </row>
    <row r="723" spans="1:7" x14ac:dyDescent="0.35">
      <c r="A723" s="13" t="s">
        <v>725</v>
      </c>
      <c r="B723" s="14">
        <v>45169</v>
      </c>
      <c r="C723" s="2" t="s">
        <v>16</v>
      </c>
      <c r="D723" s="2" t="s">
        <v>29</v>
      </c>
      <c r="E723" s="15">
        <v>11922</v>
      </c>
      <c r="F723" s="2">
        <v>7</v>
      </c>
      <c r="G723" s="15">
        <f>SalesData!$E723*SalesData!$F723</f>
        <v>83454</v>
      </c>
    </row>
    <row r="724" spans="1:7" x14ac:dyDescent="0.35">
      <c r="A724" s="16" t="s">
        <v>726</v>
      </c>
      <c r="B724" s="17">
        <v>45101</v>
      </c>
      <c r="C724" s="3" t="s">
        <v>14</v>
      </c>
      <c r="D724" s="3" t="s">
        <v>17</v>
      </c>
      <c r="E724" s="18">
        <v>22357</v>
      </c>
      <c r="F724" s="3">
        <v>1</v>
      </c>
      <c r="G724" s="18">
        <f>SalesData!$E724*SalesData!$F724</f>
        <v>22357</v>
      </c>
    </row>
    <row r="725" spans="1:7" x14ac:dyDescent="0.35">
      <c r="A725" s="13" t="s">
        <v>727</v>
      </c>
      <c r="B725" s="14">
        <v>44932</v>
      </c>
      <c r="C725" s="2" t="s">
        <v>14</v>
      </c>
      <c r="D725" s="2" t="s">
        <v>25</v>
      </c>
      <c r="E725" s="15">
        <v>6107</v>
      </c>
      <c r="F725" s="2">
        <v>4</v>
      </c>
      <c r="G725" s="15">
        <f>SalesData!$E725*SalesData!$F725</f>
        <v>24428</v>
      </c>
    </row>
    <row r="726" spans="1:7" x14ac:dyDescent="0.35">
      <c r="A726" s="16" t="s">
        <v>728</v>
      </c>
      <c r="B726" s="17">
        <v>45222</v>
      </c>
      <c r="C726" s="3" t="s">
        <v>14</v>
      </c>
      <c r="D726" s="3" t="s">
        <v>25</v>
      </c>
      <c r="E726" s="18">
        <v>22259</v>
      </c>
      <c r="F726" s="3">
        <v>1</v>
      </c>
      <c r="G726" s="18">
        <f>SalesData!$E726*SalesData!$F726</f>
        <v>22259</v>
      </c>
    </row>
    <row r="727" spans="1:7" x14ac:dyDescent="0.35">
      <c r="A727" s="13" t="s">
        <v>729</v>
      </c>
      <c r="B727" s="14">
        <v>45018</v>
      </c>
      <c r="C727" s="2" t="s">
        <v>31</v>
      </c>
      <c r="D727" s="2" t="s">
        <v>17</v>
      </c>
      <c r="E727" s="15">
        <v>20068</v>
      </c>
      <c r="F727" s="2">
        <v>10</v>
      </c>
      <c r="G727" s="15">
        <f>SalesData!$E727*SalesData!$F727</f>
        <v>200680</v>
      </c>
    </row>
    <row r="728" spans="1:7" x14ac:dyDescent="0.35">
      <c r="A728" s="16" t="s">
        <v>730</v>
      </c>
      <c r="B728" s="17">
        <v>45137</v>
      </c>
      <c r="C728" s="3" t="s">
        <v>31</v>
      </c>
      <c r="D728" s="3" t="s">
        <v>23</v>
      </c>
      <c r="E728" s="18">
        <v>9858</v>
      </c>
      <c r="F728" s="3">
        <v>1</v>
      </c>
      <c r="G728" s="18">
        <f>SalesData!$E728*SalesData!$F728</f>
        <v>9858</v>
      </c>
    </row>
    <row r="729" spans="1:7" x14ac:dyDescent="0.35">
      <c r="A729" s="13" t="s">
        <v>731</v>
      </c>
      <c r="B729" s="14">
        <v>45290</v>
      </c>
      <c r="C729" s="2" t="s">
        <v>14</v>
      </c>
      <c r="D729" s="2" t="s">
        <v>20</v>
      </c>
      <c r="E729" s="15">
        <v>21468</v>
      </c>
      <c r="F729" s="2">
        <v>3</v>
      </c>
      <c r="G729" s="15">
        <f>SalesData!$E729*SalesData!$F729</f>
        <v>64404</v>
      </c>
    </row>
    <row r="730" spans="1:7" x14ac:dyDescent="0.35">
      <c r="A730" s="16" t="s">
        <v>732</v>
      </c>
      <c r="B730" s="17">
        <v>45073</v>
      </c>
      <c r="C730" s="3" t="s">
        <v>16</v>
      </c>
      <c r="D730" s="3" t="s">
        <v>17</v>
      </c>
      <c r="E730" s="18">
        <v>16151</v>
      </c>
      <c r="F730" s="3">
        <v>1</v>
      </c>
      <c r="G730" s="18">
        <f>SalesData!$E730*SalesData!$F730</f>
        <v>16151</v>
      </c>
    </row>
    <row r="731" spans="1:7" x14ac:dyDescent="0.35">
      <c r="A731" s="13" t="s">
        <v>733</v>
      </c>
      <c r="B731" s="14">
        <v>45196</v>
      </c>
      <c r="C731" s="2" t="s">
        <v>89</v>
      </c>
      <c r="D731" s="2" t="s">
        <v>23</v>
      </c>
      <c r="E731" s="15">
        <v>5158</v>
      </c>
      <c r="F731" s="2">
        <v>2</v>
      </c>
      <c r="G731" s="15">
        <f>SalesData!$E731*SalesData!$F731</f>
        <v>10316</v>
      </c>
    </row>
    <row r="732" spans="1:7" x14ac:dyDescent="0.35">
      <c r="A732" s="16" t="s">
        <v>734</v>
      </c>
      <c r="B732" s="17">
        <v>45136</v>
      </c>
      <c r="C732" s="3" t="s">
        <v>16</v>
      </c>
      <c r="D732" s="3" t="s">
        <v>17</v>
      </c>
      <c r="E732" s="18">
        <v>49731</v>
      </c>
      <c r="F732" s="3">
        <v>4</v>
      </c>
      <c r="G732" s="18">
        <f>SalesData!$E732*SalesData!$F732</f>
        <v>198924</v>
      </c>
    </row>
    <row r="733" spans="1:7" x14ac:dyDescent="0.35">
      <c r="A733" s="13" t="s">
        <v>735</v>
      </c>
      <c r="B733" s="14">
        <v>45289</v>
      </c>
      <c r="C733" s="2" t="s">
        <v>16</v>
      </c>
      <c r="D733" s="2" t="s">
        <v>17</v>
      </c>
      <c r="E733" s="15">
        <v>1153</v>
      </c>
      <c r="F733" s="2">
        <v>1</v>
      </c>
      <c r="G733" s="15">
        <f>SalesData!$E733*SalesData!$F733</f>
        <v>1153</v>
      </c>
    </row>
    <row r="734" spans="1:7" x14ac:dyDescent="0.35">
      <c r="A734" s="16" t="s">
        <v>736</v>
      </c>
      <c r="B734" s="17">
        <v>44974</v>
      </c>
      <c r="C734" s="3" t="s">
        <v>89</v>
      </c>
      <c r="D734" s="3" t="s">
        <v>29</v>
      </c>
      <c r="E734" s="18">
        <v>48534</v>
      </c>
      <c r="F734" s="3">
        <v>7</v>
      </c>
      <c r="G734" s="18">
        <f>SalesData!$E734*SalesData!$F734</f>
        <v>339738</v>
      </c>
    </row>
    <row r="735" spans="1:7" x14ac:dyDescent="0.35">
      <c r="A735" s="13" t="s">
        <v>737</v>
      </c>
      <c r="B735" s="14">
        <v>45217</v>
      </c>
      <c r="C735" s="2" t="s">
        <v>16</v>
      </c>
      <c r="D735" s="2" t="s">
        <v>17</v>
      </c>
      <c r="E735" s="15">
        <v>31080</v>
      </c>
      <c r="F735" s="2">
        <v>4</v>
      </c>
      <c r="G735" s="15">
        <f>SalesData!$E735*SalesData!$F735</f>
        <v>124320</v>
      </c>
    </row>
    <row r="736" spans="1:7" x14ac:dyDescent="0.35">
      <c r="A736" s="16" t="s">
        <v>738</v>
      </c>
      <c r="B736" s="17">
        <v>45146</v>
      </c>
      <c r="C736" s="3" t="s">
        <v>14</v>
      </c>
      <c r="D736" s="3" t="s">
        <v>20</v>
      </c>
      <c r="E736" s="18">
        <v>28776</v>
      </c>
      <c r="F736" s="3">
        <v>5</v>
      </c>
      <c r="G736" s="18">
        <f>SalesData!$E736*SalesData!$F736</f>
        <v>143880</v>
      </c>
    </row>
    <row r="737" spans="1:7" x14ac:dyDescent="0.35">
      <c r="A737" s="13" t="s">
        <v>739</v>
      </c>
      <c r="B737" s="14">
        <v>44989</v>
      </c>
      <c r="C737" s="2" t="s">
        <v>16</v>
      </c>
      <c r="D737" s="2" t="s">
        <v>20</v>
      </c>
      <c r="E737" s="15">
        <v>22942</v>
      </c>
      <c r="F737" s="2">
        <v>3</v>
      </c>
      <c r="G737" s="15">
        <f>SalesData!$E737*SalesData!$F737</f>
        <v>68826</v>
      </c>
    </row>
    <row r="738" spans="1:7" x14ac:dyDescent="0.35">
      <c r="A738" s="16" t="s">
        <v>740</v>
      </c>
      <c r="B738" s="17">
        <v>45123</v>
      </c>
      <c r="C738" s="3" t="s">
        <v>14</v>
      </c>
      <c r="D738" s="3" t="s">
        <v>20</v>
      </c>
      <c r="E738" s="18">
        <v>36341</v>
      </c>
      <c r="F738" s="3">
        <v>5</v>
      </c>
      <c r="G738" s="18">
        <f>SalesData!$E738*SalesData!$F738</f>
        <v>181705</v>
      </c>
    </row>
    <row r="739" spans="1:7" x14ac:dyDescent="0.35">
      <c r="A739" s="13" t="s">
        <v>741</v>
      </c>
      <c r="B739" s="14">
        <v>45291</v>
      </c>
      <c r="C739" s="2" t="s">
        <v>14</v>
      </c>
      <c r="D739" s="2" t="s">
        <v>25</v>
      </c>
      <c r="E739" s="15">
        <v>20619</v>
      </c>
      <c r="F739" s="2">
        <v>4</v>
      </c>
      <c r="G739" s="15">
        <f>SalesData!$E739*SalesData!$F739</f>
        <v>82476</v>
      </c>
    </row>
    <row r="740" spans="1:7" x14ac:dyDescent="0.35">
      <c r="A740" s="16" t="s">
        <v>742</v>
      </c>
      <c r="B740" s="17">
        <v>45253</v>
      </c>
      <c r="C740" s="3" t="s">
        <v>89</v>
      </c>
      <c r="D740" s="3" t="s">
        <v>25</v>
      </c>
      <c r="E740" s="18">
        <v>8732</v>
      </c>
      <c r="F740" s="3">
        <v>4</v>
      </c>
      <c r="G740" s="18">
        <f>SalesData!$E740*SalesData!$F740</f>
        <v>34928</v>
      </c>
    </row>
    <row r="741" spans="1:7" x14ac:dyDescent="0.35">
      <c r="A741" s="13" t="s">
        <v>743</v>
      </c>
      <c r="B741" s="14">
        <v>45138</v>
      </c>
      <c r="C741" s="2" t="s">
        <v>16</v>
      </c>
      <c r="D741" s="2" t="s">
        <v>17</v>
      </c>
      <c r="E741" s="15">
        <v>7596</v>
      </c>
      <c r="F741" s="2">
        <v>6</v>
      </c>
      <c r="G741" s="15">
        <f>SalesData!$E741*SalesData!$F741</f>
        <v>45576</v>
      </c>
    </row>
    <row r="742" spans="1:7" x14ac:dyDescent="0.35">
      <c r="A742" s="16" t="s">
        <v>744</v>
      </c>
      <c r="B742" s="17">
        <v>45179</v>
      </c>
      <c r="C742" s="3" t="s">
        <v>89</v>
      </c>
      <c r="D742" s="3" t="s">
        <v>29</v>
      </c>
      <c r="E742" s="18">
        <v>8408</v>
      </c>
      <c r="F742" s="3">
        <v>8</v>
      </c>
      <c r="G742" s="18">
        <f>SalesData!$E742*SalesData!$F742</f>
        <v>67264</v>
      </c>
    </row>
    <row r="743" spans="1:7" x14ac:dyDescent="0.35">
      <c r="A743" s="13" t="s">
        <v>745</v>
      </c>
      <c r="B743" s="14">
        <v>45066</v>
      </c>
      <c r="C743" s="2" t="s">
        <v>16</v>
      </c>
      <c r="D743" s="2" t="s">
        <v>20</v>
      </c>
      <c r="E743" s="15">
        <v>1308</v>
      </c>
      <c r="F743" s="2">
        <v>4</v>
      </c>
      <c r="G743" s="15">
        <f>SalesData!$E743*SalesData!$F743</f>
        <v>5232</v>
      </c>
    </row>
    <row r="744" spans="1:7" x14ac:dyDescent="0.35">
      <c r="A744" s="16" t="s">
        <v>746</v>
      </c>
      <c r="B744" s="17">
        <v>45094</v>
      </c>
      <c r="C744" s="3" t="s">
        <v>14</v>
      </c>
      <c r="D744" s="3" t="s">
        <v>20</v>
      </c>
      <c r="E744" s="18">
        <v>49084</v>
      </c>
      <c r="F744" s="3">
        <v>2</v>
      </c>
      <c r="G744" s="18">
        <f>SalesData!$E744*SalesData!$F744</f>
        <v>98168</v>
      </c>
    </row>
    <row r="745" spans="1:7" x14ac:dyDescent="0.35">
      <c r="A745" s="13" t="s">
        <v>747</v>
      </c>
      <c r="B745" s="14">
        <v>44934</v>
      </c>
      <c r="C745" s="2" t="s">
        <v>16</v>
      </c>
      <c r="D745" s="2" t="s">
        <v>25</v>
      </c>
      <c r="E745" s="15">
        <v>7734</v>
      </c>
      <c r="F745" s="2">
        <v>9</v>
      </c>
      <c r="G745" s="15">
        <f>SalesData!$E745*SalesData!$F745</f>
        <v>69606</v>
      </c>
    </row>
    <row r="746" spans="1:7" x14ac:dyDescent="0.35">
      <c r="A746" s="16" t="s">
        <v>748</v>
      </c>
      <c r="B746" s="17">
        <v>45137</v>
      </c>
      <c r="C746" s="3" t="s">
        <v>31</v>
      </c>
      <c r="D746" s="3" t="s">
        <v>29</v>
      </c>
      <c r="E746" s="18">
        <v>34941</v>
      </c>
      <c r="F746" s="3">
        <v>7</v>
      </c>
      <c r="G746" s="18">
        <f>SalesData!$E746*SalesData!$F746</f>
        <v>244587</v>
      </c>
    </row>
    <row r="747" spans="1:7" x14ac:dyDescent="0.35">
      <c r="A747" s="13" t="s">
        <v>749</v>
      </c>
      <c r="B747" s="14">
        <v>45133</v>
      </c>
      <c r="C747" s="2" t="s">
        <v>14</v>
      </c>
      <c r="D747" s="2" t="s">
        <v>23</v>
      </c>
      <c r="E747" s="15">
        <v>38003</v>
      </c>
      <c r="F747" s="2">
        <v>5</v>
      </c>
      <c r="G747" s="15">
        <f>SalesData!$E747*SalesData!$F747</f>
        <v>190015</v>
      </c>
    </row>
    <row r="748" spans="1:7" x14ac:dyDescent="0.35">
      <c r="A748" s="16" t="s">
        <v>750</v>
      </c>
      <c r="B748" s="17">
        <v>45254</v>
      </c>
      <c r="C748" s="3" t="s">
        <v>31</v>
      </c>
      <c r="D748" s="3" t="s">
        <v>17</v>
      </c>
      <c r="E748" s="18">
        <v>6172</v>
      </c>
      <c r="F748" s="3">
        <v>4</v>
      </c>
      <c r="G748" s="18">
        <f>SalesData!$E748*SalesData!$F748</f>
        <v>24688</v>
      </c>
    </row>
    <row r="749" spans="1:7" x14ac:dyDescent="0.35">
      <c r="A749" s="13" t="s">
        <v>751</v>
      </c>
      <c r="B749" s="14">
        <v>44935</v>
      </c>
      <c r="C749" s="2" t="s">
        <v>89</v>
      </c>
      <c r="D749" s="2" t="s">
        <v>17</v>
      </c>
      <c r="E749" s="15">
        <v>1946</v>
      </c>
      <c r="F749" s="2">
        <v>5</v>
      </c>
      <c r="G749" s="15">
        <f>SalesData!$E749*SalesData!$F749</f>
        <v>9730</v>
      </c>
    </row>
    <row r="750" spans="1:7" x14ac:dyDescent="0.35">
      <c r="A750" s="13" t="s">
        <v>752</v>
      </c>
      <c r="B750" s="14">
        <v>45204</v>
      </c>
      <c r="C750" s="2" t="s">
        <v>16</v>
      </c>
      <c r="D750" s="2" t="s">
        <v>20</v>
      </c>
      <c r="E750" s="15">
        <v>10336</v>
      </c>
      <c r="F750" s="2">
        <v>6</v>
      </c>
      <c r="G750" s="15">
        <f>SalesData!$E750*SalesData!$F750</f>
        <v>62016</v>
      </c>
    </row>
    <row r="751" spans="1:7" x14ac:dyDescent="0.35">
      <c r="A751" s="16" t="s">
        <v>753</v>
      </c>
      <c r="B751" s="17">
        <v>45240</v>
      </c>
      <c r="C751" s="3" t="s">
        <v>14</v>
      </c>
      <c r="D751" s="3" t="s">
        <v>29</v>
      </c>
      <c r="E751" s="18">
        <v>12852</v>
      </c>
      <c r="F751" s="3">
        <v>10</v>
      </c>
      <c r="G751" s="18">
        <f>SalesData!$E751*SalesData!$F751</f>
        <v>128520</v>
      </c>
    </row>
    <row r="752" spans="1:7" x14ac:dyDescent="0.35">
      <c r="A752" s="13" t="s">
        <v>754</v>
      </c>
      <c r="B752" s="14">
        <v>45249</v>
      </c>
      <c r="C752" s="2" t="s">
        <v>16</v>
      </c>
      <c r="D752" s="2" t="s">
        <v>23</v>
      </c>
      <c r="E752" s="15">
        <v>46826</v>
      </c>
      <c r="F752" s="2">
        <v>5</v>
      </c>
      <c r="G752" s="15">
        <f>SalesData!$E752*SalesData!$F752</f>
        <v>234130</v>
      </c>
    </row>
    <row r="753" spans="1:7" x14ac:dyDescent="0.35">
      <c r="A753" s="16" t="s">
        <v>755</v>
      </c>
      <c r="B753" s="17">
        <v>45156</v>
      </c>
      <c r="C753" s="3" t="s">
        <v>89</v>
      </c>
      <c r="D753" s="3" t="s">
        <v>25</v>
      </c>
      <c r="E753" s="18">
        <v>34214</v>
      </c>
      <c r="F753" s="3">
        <v>4</v>
      </c>
      <c r="G753" s="18">
        <f>SalesData!$E753*SalesData!$F753</f>
        <v>136856</v>
      </c>
    </row>
    <row r="754" spans="1:7" x14ac:dyDescent="0.35">
      <c r="A754" s="13" t="s">
        <v>756</v>
      </c>
      <c r="B754" s="14">
        <v>45042</v>
      </c>
      <c r="C754" s="2" t="s">
        <v>31</v>
      </c>
      <c r="D754" s="2" t="s">
        <v>20</v>
      </c>
      <c r="E754" s="15">
        <v>47747</v>
      </c>
      <c r="F754" s="2">
        <v>2</v>
      </c>
      <c r="G754" s="15">
        <f>SalesData!$E754*SalesData!$F754</f>
        <v>95494</v>
      </c>
    </row>
    <row r="755" spans="1:7" x14ac:dyDescent="0.35">
      <c r="A755" s="16" t="s">
        <v>757</v>
      </c>
      <c r="B755" s="17">
        <v>44999</v>
      </c>
      <c r="C755" s="3" t="s">
        <v>14</v>
      </c>
      <c r="D755" s="3" t="s">
        <v>25</v>
      </c>
      <c r="E755" s="18">
        <v>46447</v>
      </c>
      <c r="F755" s="3">
        <v>3</v>
      </c>
      <c r="G755" s="18">
        <f>SalesData!$E755*SalesData!$F755</f>
        <v>139341</v>
      </c>
    </row>
    <row r="756" spans="1:7" x14ac:dyDescent="0.35">
      <c r="A756" s="13" t="s">
        <v>758</v>
      </c>
      <c r="B756" s="14">
        <v>44979</v>
      </c>
      <c r="C756" s="2" t="s">
        <v>89</v>
      </c>
      <c r="D756" s="2" t="s">
        <v>17</v>
      </c>
      <c r="E756" s="15">
        <v>48647</v>
      </c>
      <c r="F756" s="2">
        <v>6</v>
      </c>
      <c r="G756" s="15">
        <f>SalesData!$E756*SalesData!$F756</f>
        <v>291882</v>
      </c>
    </row>
    <row r="757" spans="1:7" x14ac:dyDescent="0.35">
      <c r="A757" s="16" t="s">
        <v>759</v>
      </c>
      <c r="B757" s="17">
        <v>45193</v>
      </c>
      <c r="C757" s="3" t="s">
        <v>14</v>
      </c>
      <c r="D757" s="3" t="s">
        <v>25</v>
      </c>
      <c r="E757" s="18">
        <v>18639</v>
      </c>
      <c r="F757" s="3">
        <v>4</v>
      </c>
      <c r="G757" s="18">
        <f>SalesData!$E757*SalesData!$F757</f>
        <v>74556</v>
      </c>
    </row>
    <row r="758" spans="1:7" x14ac:dyDescent="0.35">
      <c r="A758" s="13" t="s">
        <v>760</v>
      </c>
      <c r="B758" s="14">
        <v>45010</v>
      </c>
      <c r="C758" s="2" t="s">
        <v>89</v>
      </c>
      <c r="D758" s="2" t="s">
        <v>20</v>
      </c>
      <c r="E758" s="15">
        <v>47203</v>
      </c>
      <c r="F758" s="2">
        <v>10</v>
      </c>
      <c r="G758" s="15">
        <f>SalesData!$E758*SalesData!$F758</f>
        <v>472030</v>
      </c>
    </row>
    <row r="759" spans="1:7" x14ac:dyDescent="0.35">
      <c r="A759" s="16" t="s">
        <v>761</v>
      </c>
      <c r="B759" s="17">
        <v>45003</v>
      </c>
      <c r="C759" s="3" t="s">
        <v>89</v>
      </c>
      <c r="D759" s="3" t="s">
        <v>23</v>
      </c>
      <c r="E759" s="18">
        <v>25718</v>
      </c>
      <c r="F759" s="3">
        <v>8</v>
      </c>
      <c r="G759" s="18">
        <f>SalesData!$E759*SalesData!$F759</f>
        <v>205744</v>
      </c>
    </row>
    <row r="760" spans="1:7" x14ac:dyDescent="0.35">
      <c r="A760" s="13" t="s">
        <v>762</v>
      </c>
      <c r="B760" s="14">
        <v>45119</v>
      </c>
      <c r="C760" s="2" t="s">
        <v>89</v>
      </c>
      <c r="D760" s="2" t="s">
        <v>20</v>
      </c>
      <c r="E760" s="15">
        <v>26708</v>
      </c>
      <c r="F760" s="2">
        <v>10</v>
      </c>
      <c r="G760" s="15">
        <f>SalesData!$E760*SalesData!$F760</f>
        <v>267080</v>
      </c>
    </row>
    <row r="761" spans="1:7" x14ac:dyDescent="0.35">
      <c r="A761" s="16" t="s">
        <v>763</v>
      </c>
      <c r="B761" s="17">
        <v>45029</v>
      </c>
      <c r="C761" s="3" t="s">
        <v>89</v>
      </c>
      <c r="D761" s="3" t="s">
        <v>29</v>
      </c>
      <c r="E761" s="18">
        <v>47186</v>
      </c>
      <c r="F761" s="3">
        <v>4</v>
      </c>
      <c r="G761" s="18">
        <f>SalesData!$E761*SalesData!$F761</f>
        <v>188744</v>
      </c>
    </row>
    <row r="762" spans="1:7" x14ac:dyDescent="0.35">
      <c r="A762" s="13" t="s">
        <v>764</v>
      </c>
      <c r="B762" s="14">
        <v>45265</v>
      </c>
      <c r="C762" s="2" t="s">
        <v>89</v>
      </c>
      <c r="D762" s="2" t="s">
        <v>17</v>
      </c>
      <c r="E762" s="15">
        <v>33459</v>
      </c>
      <c r="F762" s="2">
        <v>1</v>
      </c>
      <c r="G762" s="15">
        <f>SalesData!$E762*SalesData!$F762</f>
        <v>33459</v>
      </c>
    </row>
    <row r="763" spans="1:7" x14ac:dyDescent="0.35">
      <c r="A763" s="13" t="s">
        <v>765</v>
      </c>
      <c r="B763" s="14">
        <v>45280</v>
      </c>
      <c r="C763" s="2" t="s">
        <v>16</v>
      </c>
      <c r="D763" s="2" t="s">
        <v>29</v>
      </c>
      <c r="E763" s="15">
        <v>27175</v>
      </c>
      <c r="F763" s="2">
        <v>7</v>
      </c>
      <c r="G763" s="15">
        <f>SalesData!$E763*SalesData!$F763</f>
        <v>190225</v>
      </c>
    </row>
    <row r="764" spans="1:7" x14ac:dyDescent="0.35">
      <c r="A764" s="16" t="s">
        <v>766</v>
      </c>
      <c r="B764" s="17">
        <v>45224</v>
      </c>
      <c r="C764" s="3" t="s">
        <v>31</v>
      </c>
      <c r="D764" s="3" t="s">
        <v>29</v>
      </c>
      <c r="E764" s="18">
        <v>9944</v>
      </c>
      <c r="F764" s="3">
        <v>2</v>
      </c>
      <c r="G764" s="18">
        <f>SalesData!$E764*SalesData!$F764</f>
        <v>19888</v>
      </c>
    </row>
    <row r="765" spans="1:7" x14ac:dyDescent="0.35">
      <c r="A765" s="13" t="s">
        <v>767</v>
      </c>
      <c r="B765" s="14">
        <v>45062</v>
      </c>
      <c r="C765" s="2" t="s">
        <v>14</v>
      </c>
      <c r="D765" s="2" t="s">
        <v>20</v>
      </c>
      <c r="E765" s="15">
        <v>26040</v>
      </c>
      <c r="F765" s="2">
        <v>2</v>
      </c>
      <c r="G765" s="15">
        <f>SalesData!$E765*SalesData!$F765</f>
        <v>52080</v>
      </c>
    </row>
    <row r="766" spans="1:7" x14ac:dyDescent="0.35">
      <c r="A766" s="16" t="s">
        <v>768</v>
      </c>
      <c r="B766" s="17">
        <v>45269</v>
      </c>
      <c r="C766" s="3" t="s">
        <v>16</v>
      </c>
      <c r="D766" s="3" t="s">
        <v>17</v>
      </c>
      <c r="E766" s="18">
        <v>8510</v>
      </c>
      <c r="F766" s="3">
        <v>3</v>
      </c>
      <c r="G766" s="18">
        <f>SalesData!$E766*SalesData!$F766</f>
        <v>25530</v>
      </c>
    </row>
    <row r="767" spans="1:7" x14ac:dyDescent="0.35">
      <c r="A767" s="13" t="s">
        <v>769</v>
      </c>
      <c r="B767" s="14">
        <v>45168</v>
      </c>
      <c r="C767" s="2" t="s">
        <v>14</v>
      </c>
      <c r="D767" s="2" t="s">
        <v>25</v>
      </c>
      <c r="E767" s="15">
        <v>25267</v>
      </c>
      <c r="F767" s="2">
        <v>7</v>
      </c>
      <c r="G767" s="15">
        <f>SalesData!$E767*SalesData!$F767</f>
        <v>176869</v>
      </c>
    </row>
    <row r="768" spans="1:7" x14ac:dyDescent="0.35">
      <c r="A768" s="16" t="s">
        <v>770</v>
      </c>
      <c r="B768" s="17">
        <v>45241</v>
      </c>
      <c r="C768" s="3" t="s">
        <v>31</v>
      </c>
      <c r="D768" s="3" t="s">
        <v>23</v>
      </c>
      <c r="E768" s="18">
        <v>43852</v>
      </c>
      <c r="F768" s="3">
        <v>6</v>
      </c>
      <c r="G768" s="18">
        <f>SalesData!$E768*SalesData!$F768</f>
        <v>263112</v>
      </c>
    </row>
    <row r="769" spans="1:7" x14ac:dyDescent="0.35">
      <c r="A769" s="13" t="s">
        <v>771</v>
      </c>
      <c r="B769" s="14">
        <v>45137</v>
      </c>
      <c r="C769" s="2" t="s">
        <v>14</v>
      </c>
      <c r="D769" s="2" t="s">
        <v>23</v>
      </c>
      <c r="E769" s="15">
        <v>7452</v>
      </c>
      <c r="F769" s="2">
        <v>1</v>
      </c>
      <c r="G769" s="15">
        <f>SalesData!$E769*SalesData!$F769</f>
        <v>7452</v>
      </c>
    </row>
    <row r="770" spans="1:7" x14ac:dyDescent="0.35">
      <c r="A770" s="16" t="s">
        <v>772</v>
      </c>
      <c r="B770" s="17">
        <v>45041</v>
      </c>
      <c r="C770" s="3" t="s">
        <v>31</v>
      </c>
      <c r="D770" s="3" t="s">
        <v>20</v>
      </c>
      <c r="E770" s="18">
        <v>4673</v>
      </c>
      <c r="F770" s="3">
        <v>7</v>
      </c>
      <c r="G770" s="18">
        <f>SalesData!$E770*SalesData!$F770</f>
        <v>32711</v>
      </c>
    </row>
    <row r="771" spans="1:7" x14ac:dyDescent="0.35">
      <c r="A771" s="13" t="s">
        <v>773</v>
      </c>
      <c r="B771" s="14">
        <v>44935</v>
      </c>
      <c r="C771" s="2" t="s">
        <v>89</v>
      </c>
      <c r="D771" s="2" t="s">
        <v>17</v>
      </c>
      <c r="E771" s="15">
        <v>28210</v>
      </c>
      <c r="F771" s="2">
        <v>1</v>
      </c>
      <c r="G771" s="15">
        <f>SalesData!$E771*SalesData!$F771</f>
        <v>28210</v>
      </c>
    </row>
    <row r="772" spans="1:7" x14ac:dyDescent="0.35">
      <c r="A772" s="16" t="s">
        <v>774</v>
      </c>
      <c r="B772" s="17">
        <v>45144</v>
      </c>
      <c r="C772" s="3" t="s">
        <v>31</v>
      </c>
      <c r="D772" s="3" t="s">
        <v>17</v>
      </c>
      <c r="E772" s="18">
        <v>41259</v>
      </c>
      <c r="F772" s="3">
        <v>1</v>
      </c>
      <c r="G772" s="18">
        <f>SalesData!$E772*SalesData!$F772</f>
        <v>41259</v>
      </c>
    </row>
    <row r="773" spans="1:7" x14ac:dyDescent="0.35">
      <c r="A773" s="13" t="s">
        <v>775</v>
      </c>
      <c r="B773" s="14">
        <v>44946</v>
      </c>
      <c r="C773" s="2" t="s">
        <v>16</v>
      </c>
      <c r="D773" s="2" t="s">
        <v>25</v>
      </c>
      <c r="E773" s="15">
        <v>31216</v>
      </c>
      <c r="F773" s="2">
        <v>9</v>
      </c>
      <c r="G773" s="15">
        <f>SalesData!$E773*SalesData!$F773</f>
        <v>280944</v>
      </c>
    </row>
    <row r="774" spans="1:7" x14ac:dyDescent="0.35">
      <c r="A774" s="16" t="s">
        <v>776</v>
      </c>
      <c r="B774" s="17">
        <v>45106</v>
      </c>
      <c r="C774" s="3" t="s">
        <v>14</v>
      </c>
      <c r="D774" s="3" t="s">
        <v>17</v>
      </c>
      <c r="E774" s="18">
        <v>1072</v>
      </c>
      <c r="F774" s="3">
        <v>10</v>
      </c>
      <c r="G774" s="18">
        <f>SalesData!$E774*SalesData!$F774</f>
        <v>10720</v>
      </c>
    </row>
    <row r="775" spans="1:7" x14ac:dyDescent="0.35">
      <c r="A775" s="13" t="s">
        <v>777</v>
      </c>
      <c r="B775" s="14">
        <v>45200</v>
      </c>
      <c r="C775" s="2" t="s">
        <v>31</v>
      </c>
      <c r="D775" s="2" t="s">
        <v>29</v>
      </c>
      <c r="E775" s="15">
        <v>32132</v>
      </c>
      <c r="F775" s="2">
        <v>8</v>
      </c>
      <c r="G775" s="15">
        <f>SalesData!$E775*SalesData!$F775</f>
        <v>257056</v>
      </c>
    </row>
    <row r="776" spans="1:7" x14ac:dyDescent="0.35">
      <c r="A776" s="16" t="s">
        <v>778</v>
      </c>
      <c r="B776" s="17">
        <v>44969</v>
      </c>
      <c r="C776" s="3" t="s">
        <v>31</v>
      </c>
      <c r="D776" s="3" t="s">
        <v>25</v>
      </c>
      <c r="E776" s="18">
        <v>26404</v>
      </c>
      <c r="F776" s="3">
        <v>6</v>
      </c>
      <c r="G776" s="18">
        <f>SalesData!$E776*SalesData!$F776</f>
        <v>158424</v>
      </c>
    </row>
    <row r="777" spans="1:7" x14ac:dyDescent="0.35">
      <c r="A777" s="13" t="s">
        <v>779</v>
      </c>
      <c r="B777" s="14">
        <v>45038</v>
      </c>
      <c r="C777" s="2" t="s">
        <v>89</v>
      </c>
      <c r="D777" s="2" t="s">
        <v>25</v>
      </c>
      <c r="E777" s="15">
        <v>6392</v>
      </c>
      <c r="F777" s="2">
        <v>1</v>
      </c>
      <c r="G777" s="15">
        <f>SalesData!$E777*SalesData!$F777</f>
        <v>6392</v>
      </c>
    </row>
    <row r="778" spans="1:7" x14ac:dyDescent="0.35">
      <c r="A778" s="16" t="s">
        <v>780</v>
      </c>
      <c r="B778" s="17">
        <v>45159</v>
      </c>
      <c r="C778" s="3" t="s">
        <v>31</v>
      </c>
      <c r="D778" s="3" t="s">
        <v>25</v>
      </c>
      <c r="E778" s="18">
        <v>14709</v>
      </c>
      <c r="F778" s="3">
        <v>7</v>
      </c>
      <c r="G778" s="18">
        <f>SalesData!$E778*SalesData!$F778</f>
        <v>102963</v>
      </c>
    </row>
    <row r="779" spans="1:7" x14ac:dyDescent="0.35">
      <c r="A779" s="13" t="s">
        <v>781</v>
      </c>
      <c r="B779" s="14">
        <v>45107</v>
      </c>
      <c r="C779" s="2" t="s">
        <v>31</v>
      </c>
      <c r="D779" s="2" t="s">
        <v>25</v>
      </c>
      <c r="E779" s="15">
        <v>16035</v>
      </c>
      <c r="F779" s="2">
        <v>7</v>
      </c>
      <c r="G779" s="15">
        <f>SalesData!$E779*SalesData!$F779</f>
        <v>112245</v>
      </c>
    </row>
    <row r="780" spans="1:7" x14ac:dyDescent="0.35">
      <c r="A780" s="16" t="s">
        <v>782</v>
      </c>
      <c r="B780" s="17">
        <v>45216</v>
      </c>
      <c r="C780" s="3" t="s">
        <v>16</v>
      </c>
      <c r="D780" s="3" t="s">
        <v>17</v>
      </c>
      <c r="E780" s="18">
        <v>22509</v>
      </c>
      <c r="F780" s="3">
        <v>1</v>
      </c>
      <c r="G780" s="18">
        <f>SalesData!$E780*SalesData!$F780</f>
        <v>22509</v>
      </c>
    </row>
    <row r="781" spans="1:7" x14ac:dyDescent="0.35">
      <c r="A781" s="13" t="s">
        <v>783</v>
      </c>
      <c r="B781" s="14">
        <v>45196</v>
      </c>
      <c r="C781" s="2" t="s">
        <v>16</v>
      </c>
      <c r="D781" s="2" t="s">
        <v>20</v>
      </c>
      <c r="E781" s="15">
        <v>49094</v>
      </c>
      <c r="F781" s="2">
        <v>7</v>
      </c>
      <c r="G781" s="15">
        <f>SalesData!$E781*SalesData!$F781</f>
        <v>343658</v>
      </c>
    </row>
    <row r="782" spans="1:7" x14ac:dyDescent="0.35">
      <c r="A782" s="16" t="s">
        <v>784</v>
      </c>
      <c r="B782" s="17">
        <v>45140</v>
      </c>
      <c r="C782" s="3" t="s">
        <v>89</v>
      </c>
      <c r="D782" s="3" t="s">
        <v>20</v>
      </c>
      <c r="E782" s="18">
        <v>5778</v>
      </c>
      <c r="F782" s="3">
        <v>7</v>
      </c>
      <c r="G782" s="18">
        <f>SalesData!$E782*SalesData!$F782</f>
        <v>40446</v>
      </c>
    </row>
    <row r="783" spans="1:7" x14ac:dyDescent="0.35">
      <c r="A783" s="13" t="s">
        <v>785</v>
      </c>
      <c r="B783" s="14">
        <v>45244</v>
      </c>
      <c r="C783" s="2" t="s">
        <v>14</v>
      </c>
      <c r="D783" s="2" t="s">
        <v>29</v>
      </c>
      <c r="E783" s="15">
        <v>41822</v>
      </c>
      <c r="F783" s="2">
        <v>5</v>
      </c>
      <c r="G783" s="15">
        <f>SalesData!$E783*SalesData!$F783</f>
        <v>209110</v>
      </c>
    </row>
    <row r="784" spans="1:7" x14ac:dyDescent="0.35">
      <c r="A784" s="16" t="s">
        <v>786</v>
      </c>
      <c r="B784" s="17">
        <v>45269</v>
      </c>
      <c r="C784" s="3" t="s">
        <v>89</v>
      </c>
      <c r="D784" s="3" t="s">
        <v>20</v>
      </c>
      <c r="E784" s="18">
        <v>42343</v>
      </c>
      <c r="F784" s="3">
        <v>1</v>
      </c>
      <c r="G784" s="18">
        <f>SalesData!$E784*SalesData!$F784</f>
        <v>42343</v>
      </c>
    </row>
    <row r="785" spans="1:7" x14ac:dyDescent="0.35">
      <c r="A785" s="13" t="s">
        <v>787</v>
      </c>
      <c r="B785" s="14">
        <v>45129</v>
      </c>
      <c r="C785" s="2" t="s">
        <v>89</v>
      </c>
      <c r="D785" s="2" t="s">
        <v>23</v>
      </c>
      <c r="E785" s="15">
        <v>15591</v>
      </c>
      <c r="F785" s="2">
        <v>4</v>
      </c>
      <c r="G785" s="15">
        <f>SalesData!$E785*SalesData!$F785</f>
        <v>62364</v>
      </c>
    </row>
    <row r="786" spans="1:7" x14ac:dyDescent="0.35">
      <c r="A786" s="16" t="s">
        <v>788</v>
      </c>
      <c r="B786" s="17">
        <v>45072</v>
      </c>
      <c r="C786" s="3" t="s">
        <v>31</v>
      </c>
      <c r="D786" s="3" t="s">
        <v>29</v>
      </c>
      <c r="E786" s="18">
        <v>21662</v>
      </c>
      <c r="F786" s="3">
        <v>7</v>
      </c>
      <c r="G786" s="18">
        <f>SalesData!$E786*SalesData!$F786</f>
        <v>151634</v>
      </c>
    </row>
    <row r="787" spans="1:7" x14ac:dyDescent="0.35">
      <c r="A787" s="13" t="s">
        <v>789</v>
      </c>
      <c r="B787" s="14">
        <v>45085</v>
      </c>
      <c r="C787" s="2" t="s">
        <v>31</v>
      </c>
      <c r="D787" s="2" t="s">
        <v>20</v>
      </c>
      <c r="E787" s="15">
        <v>15530</v>
      </c>
      <c r="F787" s="2">
        <v>8</v>
      </c>
      <c r="G787" s="15">
        <f>SalesData!$E787*SalesData!$F787</f>
        <v>124240</v>
      </c>
    </row>
    <row r="788" spans="1:7" x14ac:dyDescent="0.35">
      <c r="A788" s="16" t="s">
        <v>790</v>
      </c>
      <c r="B788" s="17">
        <v>45188</v>
      </c>
      <c r="C788" s="3" t="s">
        <v>89</v>
      </c>
      <c r="D788" s="3" t="s">
        <v>25</v>
      </c>
      <c r="E788" s="18">
        <v>20219</v>
      </c>
      <c r="F788" s="3">
        <v>10</v>
      </c>
      <c r="G788" s="18">
        <f>SalesData!$E788*SalesData!$F788</f>
        <v>202190</v>
      </c>
    </row>
    <row r="789" spans="1:7" x14ac:dyDescent="0.35">
      <c r="A789" s="13" t="s">
        <v>791</v>
      </c>
      <c r="B789" s="14">
        <v>45133</v>
      </c>
      <c r="C789" s="2" t="s">
        <v>16</v>
      </c>
      <c r="D789" s="2" t="s">
        <v>17</v>
      </c>
      <c r="E789" s="15">
        <v>23178</v>
      </c>
      <c r="F789" s="2">
        <v>10</v>
      </c>
      <c r="G789" s="15">
        <f>SalesData!$E789*SalesData!$F789</f>
        <v>231780</v>
      </c>
    </row>
    <row r="790" spans="1:7" x14ac:dyDescent="0.35">
      <c r="A790" s="16" t="s">
        <v>792</v>
      </c>
      <c r="B790" s="17">
        <v>45257</v>
      </c>
      <c r="C790" s="3" t="s">
        <v>14</v>
      </c>
      <c r="D790" s="3" t="s">
        <v>17</v>
      </c>
      <c r="E790" s="18">
        <v>31255</v>
      </c>
      <c r="F790" s="3">
        <v>8</v>
      </c>
      <c r="G790" s="18">
        <f>SalesData!$E790*SalesData!$F790</f>
        <v>250040</v>
      </c>
    </row>
    <row r="791" spans="1:7" x14ac:dyDescent="0.35">
      <c r="A791" s="13" t="s">
        <v>793</v>
      </c>
      <c r="B791" s="14">
        <v>45240</v>
      </c>
      <c r="C791" s="2" t="s">
        <v>31</v>
      </c>
      <c r="D791" s="2" t="s">
        <v>25</v>
      </c>
      <c r="E791" s="15">
        <v>32280</v>
      </c>
      <c r="F791" s="2">
        <v>2</v>
      </c>
      <c r="G791" s="15">
        <f>SalesData!$E791*SalesData!$F791</f>
        <v>64560</v>
      </c>
    </row>
    <row r="792" spans="1:7" x14ac:dyDescent="0.35">
      <c r="A792" s="16" t="s">
        <v>794</v>
      </c>
      <c r="B792" s="17">
        <v>45023</v>
      </c>
      <c r="C792" s="3" t="s">
        <v>31</v>
      </c>
      <c r="D792" s="3" t="s">
        <v>25</v>
      </c>
      <c r="E792" s="18">
        <v>39455</v>
      </c>
      <c r="F792" s="3">
        <v>4</v>
      </c>
      <c r="G792" s="18">
        <f>SalesData!$E792*SalesData!$F792</f>
        <v>157820</v>
      </c>
    </row>
    <row r="793" spans="1:7" x14ac:dyDescent="0.35">
      <c r="A793" s="13" t="s">
        <v>795</v>
      </c>
      <c r="B793" s="14">
        <v>45139</v>
      </c>
      <c r="C793" s="2" t="s">
        <v>16</v>
      </c>
      <c r="D793" s="2" t="s">
        <v>20</v>
      </c>
      <c r="E793" s="15">
        <v>45558</v>
      </c>
      <c r="F793" s="2">
        <v>4</v>
      </c>
      <c r="G793" s="15">
        <f>SalesData!$E793*SalesData!$F793</f>
        <v>182232</v>
      </c>
    </row>
    <row r="794" spans="1:7" x14ac:dyDescent="0.35">
      <c r="A794" s="16" t="s">
        <v>796</v>
      </c>
      <c r="B794" s="17">
        <v>44991</v>
      </c>
      <c r="C794" s="3" t="s">
        <v>16</v>
      </c>
      <c r="D794" s="3" t="s">
        <v>17</v>
      </c>
      <c r="E794" s="18">
        <v>33721</v>
      </c>
      <c r="F794" s="3">
        <v>10</v>
      </c>
      <c r="G794" s="18">
        <f>SalesData!$E794*SalesData!$F794</f>
        <v>337210</v>
      </c>
    </row>
    <row r="795" spans="1:7" x14ac:dyDescent="0.35">
      <c r="A795" s="13" t="s">
        <v>797</v>
      </c>
      <c r="B795" s="14">
        <v>44978</v>
      </c>
      <c r="C795" s="2" t="s">
        <v>14</v>
      </c>
      <c r="D795" s="2" t="s">
        <v>17</v>
      </c>
      <c r="E795" s="15">
        <v>40328</v>
      </c>
      <c r="F795" s="2">
        <v>5</v>
      </c>
      <c r="G795" s="15">
        <f>SalesData!$E795*SalesData!$F795</f>
        <v>201640</v>
      </c>
    </row>
    <row r="796" spans="1:7" x14ac:dyDescent="0.35">
      <c r="A796" s="16" t="s">
        <v>798</v>
      </c>
      <c r="B796" s="17">
        <v>45218</v>
      </c>
      <c r="C796" s="3" t="s">
        <v>89</v>
      </c>
      <c r="D796" s="3" t="s">
        <v>29</v>
      </c>
      <c r="E796" s="18">
        <v>10463</v>
      </c>
      <c r="F796" s="3">
        <v>6</v>
      </c>
      <c r="G796" s="18">
        <f>SalesData!$E796*SalesData!$F796</f>
        <v>62778</v>
      </c>
    </row>
    <row r="797" spans="1:7" x14ac:dyDescent="0.35">
      <c r="A797" s="13" t="s">
        <v>799</v>
      </c>
      <c r="B797" s="14">
        <v>45029</v>
      </c>
      <c r="C797" s="2" t="s">
        <v>31</v>
      </c>
      <c r="D797" s="2" t="s">
        <v>17</v>
      </c>
      <c r="E797" s="15">
        <v>45098</v>
      </c>
      <c r="F797" s="2">
        <v>7</v>
      </c>
      <c r="G797" s="15">
        <f>SalesData!$E797*SalesData!$F797</f>
        <v>315686</v>
      </c>
    </row>
    <row r="798" spans="1:7" x14ac:dyDescent="0.35">
      <c r="A798" s="16" t="s">
        <v>800</v>
      </c>
      <c r="B798" s="17">
        <v>44998</v>
      </c>
      <c r="C798" s="3" t="s">
        <v>89</v>
      </c>
      <c r="D798" s="3" t="s">
        <v>29</v>
      </c>
      <c r="E798" s="18">
        <v>23694</v>
      </c>
      <c r="F798" s="3">
        <v>6</v>
      </c>
      <c r="G798" s="18">
        <f>SalesData!$E798*SalesData!$F798</f>
        <v>142164</v>
      </c>
    </row>
    <row r="799" spans="1:7" x14ac:dyDescent="0.35">
      <c r="A799" s="13" t="s">
        <v>801</v>
      </c>
      <c r="B799" s="14">
        <v>45188</v>
      </c>
      <c r="C799" s="2" t="s">
        <v>14</v>
      </c>
      <c r="D799" s="2" t="s">
        <v>17</v>
      </c>
      <c r="E799" s="15">
        <v>7218</v>
      </c>
      <c r="F799" s="2">
        <v>3</v>
      </c>
      <c r="G799" s="15">
        <f>SalesData!$E799*SalesData!$F799</f>
        <v>21654</v>
      </c>
    </row>
    <row r="800" spans="1:7" x14ac:dyDescent="0.35">
      <c r="A800" s="16" t="s">
        <v>802</v>
      </c>
      <c r="B800" s="17">
        <v>45164</v>
      </c>
      <c r="C800" s="3" t="s">
        <v>31</v>
      </c>
      <c r="D800" s="3" t="s">
        <v>23</v>
      </c>
      <c r="E800" s="18">
        <v>40077</v>
      </c>
      <c r="F800" s="3">
        <v>8</v>
      </c>
      <c r="G800" s="18">
        <f>SalesData!$E800*SalesData!$F800</f>
        <v>320616</v>
      </c>
    </row>
    <row r="801" spans="1:7" x14ac:dyDescent="0.35">
      <c r="A801" s="13" t="s">
        <v>803</v>
      </c>
      <c r="B801" s="14">
        <v>45218</v>
      </c>
      <c r="C801" s="2" t="s">
        <v>14</v>
      </c>
      <c r="D801" s="2" t="s">
        <v>29</v>
      </c>
      <c r="E801" s="15">
        <v>12200</v>
      </c>
      <c r="F801" s="2">
        <v>10</v>
      </c>
      <c r="G801" s="15">
        <f>SalesData!$E801*SalesData!$F801</f>
        <v>122000</v>
      </c>
    </row>
    <row r="802" spans="1:7" x14ac:dyDescent="0.35">
      <c r="A802" s="16" t="s">
        <v>804</v>
      </c>
      <c r="B802" s="17">
        <v>45182</v>
      </c>
      <c r="C802" s="3" t="s">
        <v>89</v>
      </c>
      <c r="D802" s="3" t="s">
        <v>25</v>
      </c>
      <c r="E802" s="18">
        <v>42889</v>
      </c>
      <c r="F802" s="3">
        <v>3</v>
      </c>
      <c r="G802" s="18">
        <f>SalesData!$E802*SalesData!$F802</f>
        <v>128667</v>
      </c>
    </row>
    <row r="803" spans="1:7" x14ac:dyDescent="0.35">
      <c r="A803" s="13" t="s">
        <v>805</v>
      </c>
      <c r="B803" s="14">
        <v>45250</v>
      </c>
      <c r="C803" s="2" t="s">
        <v>89</v>
      </c>
      <c r="D803" s="2" t="s">
        <v>23</v>
      </c>
      <c r="E803" s="15">
        <v>10689</v>
      </c>
      <c r="F803" s="2">
        <v>6</v>
      </c>
      <c r="G803" s="15">
        <f>SalesData!$E803*SalesData!$F803</f>
        <v>64134</v>
      </c>
    </row>
    <row r="804" spans="1:7" x14ac:dyDescent="0.35">
      <c r="A804" s="16" t="s">
        <v>806</v>
      </c>
      <c r="B804" s="17">
        <v>45212</v>
      </c>
      <c r="C804" s="3" t="s">
        <v>16</v>
      </c>
      <c r="D804" s="3" t="s">
        <v>20</v>
      </c>
      <c r="E804" s="18">
        <v>1133</v>
      </c>
      <c r="F804" s="3">
        <v>9</v>
      </c>
      <c r="G804" s="18">
        <f>SalesData!$E804*SalesData!$F804</f>
        <v>10197</v>
      </c>
    </row>
    <row r="805" spans="1:7" x14ac:dyDescent="0.35">
      <c r="A805" s="13" t="s">
        <v>806</v>
      </c>
      <c r="B805" s="14">
        <v>45212</v>
      </c>
      <c r="C805" s="2" t="s">
        <v>16</v>
      </c>
      <c r="D805" s="2" t="s">
        <v>20</v>
      </c>
      <c r="E805" s="15">
        <v>1133</v>
      </c>
      <c r="F805" s="2">
        <v>9</v>
      </c>
      <c r="G805" s="15">
        <f>SalesData!$E805*SalesData!$F805</f>
        <v>10197</v>
      </c>
    </row>
    <row r="806" spans="1:7" x14ac:dyDescent="0.35">
      <c r="A806" s="16" t="s">
        <v>807</v>
      </c>
      <c r="B806" s="17">
        <v>45263</v>
      </c>
      <c r="C806" s="3" t="s">
        <v>14</v>
      </c>
      <c r="D806" s="3" t="s">
        <v>17</v>
      </c>
      <c r="E806" s="18">
        <v>26776</v>
      </c>
      <c r="F806" s="3">
        <v>2</v>
      </c>
      <c r="G806" s="18">
        <f>SalesData!$E806*SalesData!$F806</f>
        <v>53552</v>
      </c>
    </row>
    <row r="807" spans="1:7" x14ac:dyDescent="0.35">
      <c r="A807" s="13" t="s">
        <v>808</v>
      </c>
      <c r="B807" s="14">
        <v>44949</v>
      </c>
      <c r="C807" s="2" t="s">
        <v>14</v>
      </c>
      <c r="D807" s="2" t="s">
        <v>25</v>
      </c>
      <c r="E807" s="15">
        <v>32412</v>
      </c>
      <c r="F807" s="2">
        <v>7</v>
      </c>
      <c r="G807" s="15">
        <f>SalesData!$E807*SalesData!$F807</f>
        <v>226884</v>
      </c>
    </row>
    <row r="808" spans="1:7" x14ac:dyDescent="0.35">
      <c r="A808" s="16" t="s">
        <v>809</v>
      </c>
      <c r="B808" s="17">
        <v>45135</v>
      </c>
      <c r="C808" s="3" t="s">
        <v>14</v>
      </c>
      <c r="D808" s="3" t="s">
        <v>25</v>
      </c>
      <c r="E808" s="18">
        <v>9358</v>
      </c>
      <c r="F808" s="3">
        <v>6</v>
      </c>
      <c r="G808" s="18">
        <f>SalesData!$E808*SalesData!$F808</f>
        <v>56148</v>
      </c>
    </row>
    <row r="809" spans="1:7" x14ac:dyDescent="0.35">
      <c r="A809" s="13" t="s">
        <v>810</v>
      </c>
      <c r="B809" s="14">
        <v>45191</v>
      </c>
      <c r="C809" s="2" t="s">
        <v>14</v>
      </c>
      <c r="D809" s="2" t="s">
        <v>20</v>
      </c>
      <c r="E809" s="15">
        <v>25496</v>
      </c>
      <c r="F809" s="2">
        <v>4</v>
      </c>
      <c r="G809" s="15">
        <f>SalesData!$E809*SalesData!$F809</f>
        <v>101984</v>
      </c>
    </row>
    <row r="810" spans="1:7" x14ac:dyDescent="0.35">
      <c r="A810" s="16" t="s">
        <v>811</v>
      </c>
      <c r="B810" s="17">
        <v>45191</v>
      </c>
      <c r="C810" s="3" t="s">
        <v>14</v>
      </c>
      <c r="D810" s="3" t="s">
        <v>17</v>
      </c>
      <c r="E810" s="18">
        <v>10907</v>
      </c>
      <c r="F810" s="3">
        <v>8</v>
      </c>
      <c r="G810" s="18">
        <f>SalesData!$E810*SalesData!$F810</f>
        <v>87256</v>
      </c>
    </row>
    <row r="811" spans="1:7" x14ac:dyDescent="0.35">
      <c r="A811" s="13" t="s">
        <v>812</v>
      </c>
      <c r="B811" s="14">
        <v>45214</v>
      </c>
      <c r="C811" s="2" t="s">
        <v>89</v>
      </c>
      <c r="D811" s="2" t="s">
        <v>29</v>
      </c>
      <c r="E811" s="15">
        <v>27532</v>
      </c>
      <c r="F811" s="2">
        <v>5</v>
      </c>
      <c r="G811" s="15">
        <f>SalesData!$E811*SalesData!$F811</f>
        <v>137660</v>
      </c>
    </row>
    <row r="812" spans="1:7" x14ac:dyDescent="0.35">
      <c r="A812" s="16" t="s">
        <v>813</v>
      </c>
      <c r="B812" s="17">
        <v>45155</v>
      </c>
      <c r="C812" s="3" t="s">
        <v>14</v>
      </c>
      <c r="D812" s="3" t="s">
        <v>25</v>
      </c>
      <c r="E812" s="18">
        <v>28780</v>
      </c>
      <c r="F812" s="3">
        <v>10</v>
      </c>
      <c r="G812" s="18">
        <f>SalesData!$E812*SalesData!$F812</f>
        <v>287800</v>
      </c>
    </row>
    <row r="813" spans="1:7" x14ac:dyDescent="0.35">
      <c r="A813" s="13" t="s">
        <v>814</v>
      </c>
      <c r="B813" s="14">
        <v>44946</v>
      </c>
      <c r="C813" s="2" t="s">
        <v>16</v>
      </c>
      <c r="D813" s="2" t="s">
        <v>17</v>
      </c>
      <c r="E813" s="15">
        <v>31010</v>
      </c>
      <c r="F813" s="2">
        <v>10</v>
      </c>
      <c r="G813" s="15">
        <f>SalesData!$E813*SalesData!$F813</f>
        <v>310100</v>
      </c>
    </row>
    <row r="814" spans="1:7" x14ac:dyDescent="0.35">
      <c r="A814" s="16" t="s">
        <v>815</v>
      </c>
      <c r="B814" s="17">
        <v>45240</v>
      </c>
      <c r="C814" s="3" t="s">
        <v>31</v>
      </c>
      <c r="D814" s="3" t="s">
        <v>29</v>
      </c>
      <c r="E814" s="18">
        <v>1482</v>
      </c>
      <c r="F814" s="3">
        <v>1</v>
      </c>
      <c r="G814" s="18">
        <f>SalesData!$E814*SalesData!$F814</f>
        <v>1482</v>
      </c>
    </row>
    <row r="815" spans="1:7" x14ac:dyDescent="0.35">
      <c r="A815" s="13" t="s">
        <v>816</v>
      </c>
      <c r="B815" s="14">
        <v>45073</v>
      </c>
      <c r="C815" s="2" t="s">
        <v>14</v>
      </c>
      <c r="D815" s="2" t="s">
        <v>29</v>
      </c>
      <c r="E815" s="15">
        <v>41846</v>
      </c>
      <c r="F815" s="2">
        <v>4</v>
      </c>
      <c r="G815" s="15">
        <f>SalesData!$E815*SalesData!$F815</f>
        <v>167384</v>
      </c>
    </row>
    <row r="816" spans="1:7" x14ac:dyDescent="0.35">
      <c r="A816" s="16" t="s">
        <v>817</v>
      </c>
      <c r="B816" s="17">
        <v>45100</v>
      </c>
      <c r="C816" s="3" t="s">
        <v>89</v>
      </c>
      <c r="D816" s="3" t="s">
        <v>23</v>
      </c>
      <c r="E816" s="18">
        <v>21327</v>
      </c>
      <c r="F816" s="3">
        <v>9</v>
      </c>
      <c r="G816" s="18">
        <f>SalesData!$E816*SalesData!$F816</f>
        <v>191943</v>
      </c>
    </row>
    <row r="817" spans="1:7" x14ac:dyDescent="0.35">
      <c r="A817" s="13" t="s">
        <v>817</v>
      </c>
      <c r="B817" s="14">
        <v>45100</v>
      </c>
      <c r="C817" s="2" t="s">
        <v>89</v>
      </c>
      <c r="D817" s="2" t="s">
        <v>23</v>
      </c>
      <c r="E817" s="15">
        <v>21327</v>
      </c>
      <c r="F817" s="2">
        <v>9</v>
      </c>
      <c r="G817" s="15">
        <f>SalesData!$E817*SalesData!$F817</f>
        <v>191943</v>
      </c>
    </row>
    <row r="818" spans="1:7" x14ac:dyDescent="0.35">
      <c r="A818" s="16" t="s">
        <v>818</v>
      </c>
      <c r="B818" s="17">
        <v>44942</v>
      </c>
      <c r="C818" s="3" t="s">
        <v>89</v>
      </c>
      <c r="D818" s="3" t="s">
        <v>17</v>
      </c>
      <c r="E818" s="18">
        <v>20387</v>
      </c>
      <c r="F818" s="3">
        <v>2</v>
      </c>
      <c r="G818" s="18">
        <f>SalesData!$E818*SalesData!$F818</f>
        <v>40774</v>
      </c>
    </row>
    <row r="819" spans="1:7" x14ac:dyDescent="0.35">
      <c r="A819" s="13" t="s">
        <v>819</v>
      </c>
      <c r="B819" s="14">
        <v>45046</v>
      </c>
      <c r="C819" s="2" t="s">
        <v>16</v>
      </c>
      <c r="D819" s="2" t="s">
        <v>17</v>
      </c>
      <c r="E819" s="15">
        <v>29141</v>
      </c>
      <c r="F819" s="2">
        <v>6</v>
      </c>
      <c r="G819" s="15">
        <f>SalesData!$E819*SalesData!$F819</f>
        <v>174846</v>
      </c>
    </row>
    <row r="820" spans="1:7" x14ac:dyDescent="0.35">
      <c r="A820" s="16" t="s">
        <v>820</v>
      </c>
      <c r="B820" s="17">
        <v>45137</v>
      </c>
      <c r="C820" s="3" t="s">
        <v>89</v>
      </c>
      <c r="D820" s="3" t="s">
        <v>17</v>
      </c>
      <c r="E820" s="18">
        <v>49341</v>
      </c>
      <c r="F820" s="3">
        <v>2</v>
      </c>
      <c r="G820" s="18">
        <f>SalesData!$E820*SalesData!$F820</f>
        <v>98682</v>
      </c>
    </row>
    <row r="821" spans="1:7" x14ac:dyDescent="0.35">
      <c r="A821" s="13" t="s">
        <v>821</v>
      </c>
      <c r="B821" s="14">
        <v>44996</v>
      </c>
      <c r="C821" s="2" t="s">
        <v>89</v>
      </c>
      <c r="D821" s="2" t="s">
        <v>17</v>
      </c>
      <c r="E821" s="15">
        <v>36749</v>
      </c>
      <c r="F821" s="2">
        <v>7</v>
      </c>
      <c r="G821" s="15">
        <f>SalesData!$E821*SalesData!$F821</f>
        <v>257243</v>
      </c>
    </row>
    <row r="822" spans="1:7" x14ac:dyDescent="0.35">
      <c r="A822" s="16" t="s">
        <v>822</v>
      </c>
      <c r="B822" s="17">
        <v>45187</v>
      </c>
      <c r="C822" s="3" t="s">
        <v>89</v>
      </c>
      <c r="D822" s="3" t="s">
        <v>23</v>
      </c>
      <c r="E822" s="18">
        <v>14569</v>
      </c>
      <c r="F822" s="3">
        <v>10</v>
      </c>
      <c r="G822" s="18">
        <f>SalesData!$E822*SalesData!$F822</f>
        <v>145690</v>
      </c>
    </row>
    <row r="823" spans="1:7" x14ac:dyDescent="0.35">
      <c r="A823" s="13" t="s">
        <v>823</v>
      </c>
      <c r="B823" s="14">
        <v>44955</v>
      </c>
      <c r="C823" s="2" t="s">
        <v>14</v>
      </c>
      <c r="D823" s="2" t="s">
        <v>29</v>
      </c>
      <c r="E823" s="15">
        <v>3007</v>
      </c>
      <c r="F823" s="2">
        <v>2</v>
      </c>
      <c r="G823" s="15">
        <f>SalesData!$E823*SalesData!$F823</f>
        <v>6014</v>
      </c>
    </row>
    <row r="824" spans="1:7" x14ac:dyDescent="0.35">
      <c r="A824" s="16" t="s">
        <v>824</v>
      </c>
      <c r="B824" s="17">
        <v>45029</v>
      </c>
      <c r="C824" s="3" t="s">
        <v>89</v>
      </c>
      <c r="D824" s="3" t="s">
        <v>29</v>
      </c>
      <c r="E824" s="18">
        <v>42380</v>
      </c>
      <c r="F824" s="3">
        <v>1</v>
      </c>
      <c r="G824" s="18">
        <f>SalesData!$E824*SalesData!$F824</f>
        <v>42380</v>
      </c>
    </row>
    <row r="825" spans="1:7" x14ac:dyDescent="0.35">
      <c r="A825" s="13" t="s">
        <v>825</v>
      </c>
      <c r="B825" s="14">
        <v>45113</v>
      </c>
      <c r="C825" s="2" t="s">
        <v>89</v>
      </c>
      <c r="D825" s="2" t="s">
        <v>25</v>
      </c>
      <c r="E825" s="15">
        <v>42921</v>
      </c>
      <c r="F825" s="2">
        <v>2</v>
      </c>
      <c r="G825" s="15">
        <f>SalesData!$E825*SalesData!$F825</f>
        <v>85842</v>
      </c>
    </row>
    <row r="826" spans="1:7" x14ac:dyDescent="0.35">
      <c r="A826" s="16" t="s">
        <v>826</v>
      </c>
      <c r="B826" s="17">
        <v>44995</v>
      </c>
      <c r="C826" s="3" t="s">
        <v>14</v>
      </c>
      <c r="D826" s="3" t="s">
        <v>17</v>
      </c>
      <c r="E826" s="18">
        <v>41173</v>
      </c>
      <c r="F826" s="3">
        <v>10</v>
      </c>
      <c r="G826" s="18">
        <f>SalesData!$E826*SalesData!$F826</f>
        <v>411730</v>
      </c>
    </row>
    <row r="827" spans="1:7" x14ac:dyDescent="0.35">
      <c r="A827" s="13" t="s">
        <v>827</v>
      </c>
      <c r="B827" s="14">
        <v>45089</v>
      </c>
      <c r="C827" s="2" t="s">
        <v>16</v>
      </c>
      <c r="D827" s="2" t="s">
        <v>29</v>
      </c>
      <c r="E827" s="15">
        <v>12755</v>
      </c>
      <c r="F827" s="2">
        <v>4</v>
      </c>
      <c r="G827" s="15">
        <f>SalesData!$E827*SalesData!$F827</f>
        <v>51020</v>
      </c>
    </row>
    <row r="828" spans="1:7" x14ac:dyDescent="0.35">
      <c r="A828" s="16" t="s">
        <v>828</v>
      </c>
      <c r="B828" s="17">
        <v>44956</v>
      </c>
      <c r="C828" s="3" t="s">
        <v>14</v>
      </c>
      <c r="D828" s="3" t="s">
        <v>20</v>
      </c>
      <c r="E828" s="18">
        <v>47725</v>
      </c>
      <c r="F828" s="3">
        <v>8</v>
      </c>
      <c r="G828" s="18">
        <f>SalesData!$E828*SalesData!$F828</f>
        <v>381800</v>
      </c>
    </row>
    <row r="829" spans="1:7" x14ac:dyDescent="0.35">
      <c r="A829" s="13" t="s">
        <v>829</v>
      </c>
      <c r="B829" s="14">
        <v>45291</v>
      </c>
      <c r="C829" s="2" t="s">
        <v>14</v>
      </c>
      <c r="D829" s="2" t="s">
        <v>25</v>
      </c>
      <c r="E829" s="15">
        <v>23433</v>
      </c>
      <c r="F829" s="2">
        <v>5</v>
      </c>
      <c r="G829" s="15">
        <f>SalesData!$E829*SalesData!$F829</f>
        <v>117165</v>
      </c>
    </row>
    <row r="830" spans="1:7" x14ac:dyDescent="0.35">
      <c r="A830" s="16" t="s">
        <v>829</v>
      </c>
      <c r="B830" s="17">
        <v>45291</v>
      </c>
      <c r="C830" s="3" t="s">
        <v>14</v>
      </c>
      <c r="D830" s="3" t="s">
        <v>25</v>
      </c>
      <c r="E830" s="18">
        <v>23433</v>
      </c>
      <c r="F830" s="3">
        <v>5</v>
      </c>
      <c r="G830" s="18">
        <f>SalesData!$E830*SalesData!$F830</f>
        <v>117165</v>
      </c>
    </row>
    <row r="831" spans="1:7" x14ac:dyDescent="0.35">
      <c r="A831" s="13" t="s">
        <v>830</v>
      </c>
      <c r="B831" s="14">
        <v>45091</v>
      </c>
      <c r="C831" s="2" t="s">
        <v>89</v>
      </c>
      <c r="D831" s="2" t="s">
        <v>23</v>
      </c>
      <c r="E831" s="15">
        <v>9608</v>
      </c>
      <c r="F831" s="2">
        <v>10</v>
      </c>
      <c r="G831" s="15">
        <f>SalesData!$E831*SalesData!$F831</f>
        <v>96080</v>
      </c>
    </row>
    <row r="832" spans="1:7" x14ac:dyDescent="0.35">
      <c r="A832" s="16" t="s">
        <v>831</v>
      </c>
      <c r="B832" s="17">
        <v>45091</v>
      </c>
      <c r="C832" s="3" t="s">
        <v>16</v>
      </c>
      <c r="D832" s="3" t="s">
        <v>29</v>
      </c>
      <c r="E832" s="18">
        <v>41687</v>
      </c>
      <c r="F832" s="3">
        <v>7</v>
      </c>
      <c r="G832" s="18">
        <f>SalesData!$E832*SalesData!$F832</f>
        <v>291809</v>
      </c>
    </row>
    <row r="833" spans="1:7" x14ac:dyDescent="0.35">
      <c r="A833" s="13" t="s">
        <v>832</v>
      </c>
      <c r="B833" s="14">
        <v>45264</v>
      </c>
      <c r="C833" s="2" t="s">
        <v>31</v>
      </c>
      <c r="D833" s="2" t="s">
        <v>20</v>
      </c>
      <c r="E833" s="15">
        <v>47901</v>
      </c>
      <c r="F833" s="2">
        <v>1</v>
      </c>
      <c r="G833" s="15">
        <f>SalesData!$E833*SalesData!$F833</f>
        <v>47901</v>
      </c>
    </row>
    <row r="834" spans="1:7" x14ac:dyDescent="0.35">
      <c r="A834" s="16" t="s">
        <v>833</v>
      </c>
      <c r="B834" s="17">
        <v>44952</v>
      </c>
      <c r="C834" s="3" t="s">
        <v>89</v>
      </c>
      <c r="D834" s="3" t="s">
        <v>29</v>
      </c>
      <c r="E834" s="18">
        <v>43703</v>
      </c>
      <c r="F834" s="3">
        <v>1</v>
      </c>
      <c r="G834" s="18">
        <f>SalesData!$E834*SalesData!$F834</f>
        <v>43703</v>
      </c>
    </row>
    <row r="835" spans="1:7" x14ac:dyDescent="0.35">
      <c r="A835" s="13" t="s">
        <v>834</v>
      </c>
      <c r="B835" s="14">
        <v>45185</v>
      </c>
      <c r="C835" s="2" t="s">
        <v>16</v>
      </c>
      <c r="D835" s="2" t="s">
        <v>20</v>
      </c>
      <c r="E835" s="15">
        <v>15143</v>
      </c>
      <c r="F835" s="2">
        <v>1</v>
      </c>
      <c r="G835" s="15">
        <f>SalesData!$E835*SalesData!$F835</f>
        <v>15143</v>
      </c>
    </row>
    <row r="836" spans="1:7" x14ac:dyDescent="0.35">
      <c r="A836" s="16" t="s">
        <v>835</v>
      </c>
      <c r="B836" s="17">
        <v>45206</v>
      </c>
      <c r="C836" s="3" t="s">
        <v>31</v>
      </c>
      <c r="D836" s="3" t="s">
        <v>23</v>
      </c>
      <c r="E836" s="18">
        <v>9640</v>
      </c>
      <c r="F836" s="3">
        <v>6</v>
      </c>
      <c r="G836" s="18">
        <f>SalesData!$E836*SalesData!$F836</f>
        <v>57840</v>
      </c>
    </row>
    <row r="837" spans="1:7" x14ac:dyDescent="0.35">
      <c r="A837" s="13" t="s">
        <v>836</v>
      </c>
      <c r="B837" s="14">
        <v>44956</v>
      </c>
      <c r="C837" s="2" t="s">
        <v>14</v>
      </c>
      <c r="D837" s="2" t="s">
        <v>29</v>
      </c>
      <c r="E837" s="15">
        <v>11012</v>
      </c>
      <c r="F837" s="2">
        <v>10</v>
      </c>
      <c r="G837" s="15">
        <f>SalesData!$E837*SalesData!$F837</f>
        <v>110120</v>
      </c>
    </row>
    <row r="838" spans="1:7" x14ac:dyDescent="0.35">
      <c r="A838" s="16" t="s">
        <v>837</v>
      </c>
      <c r="B838" s="17">
        <v>45218</v>
      </c>
      <c r="C838" s="3" t="s">
        <v>89</v>
      </c>
      <c r="D838" s="3" t="s">
        <v>23</v>
      </c>
      <c r="E838" s="18">
        <v>36920</v>
      </c>
      <c r="F838" s="3">
        <v>6</v>
      </c>
      <c r="G838" s="18">
        <f>SalesData!$E838*SalesData!$F838</f>
        <v>221520</v>
      </c>
    </row>
    <row r="839" spans="1:7" x14ac:dyDescent="0.35">
      <c r="A839" s="13" t="s">
        <v>838</v>
      </c>
      <c r="B839" s="14">
        <v>44931</v>
      </c>
      <c r="C839" s="2" t="s">
        <v>16</v>
      </c>
      <c r="D839" s="2" t="s">
        <v>25</v>
      </c>
      <c r="E839" s="15">
        <v>34615</v>
      </c>
      <c r="F839" s="2">
        <v>9</v>
      </c>
      <c r="G839" s="15">
        <f>SalesData!$E839*SalesData!$F839</f>
        <v>311535</v>
      </c>
    </row>
    <row r="840" spans="1:7" x14ac:dyDescent="0.35">
      <c r="A840" s="16" t="s">
        <v>839</v>
      </c>
      <c r="B840" s="17">
        <v>44974</v>
      </c>
      <c r="C840" s="3" t="s">
        <v>89</v>
      </c>
      <c r="D840" s="3" t="s">
        <v>23</v>
      </c>
      <c r="E840" s="18">
        <v>49395</v>
      </c>
      <c r="F840" s="3">
        <v>5</v>
      </c>
      <c r="G840" s="18">
        <f>SalesData!$E840*SalesData!$F840</f>
        <v>246975</v>
      </c>
    </row>
    <row r="841" spans="1:7" x14ac:dyDescent="0.35">
      <c r="A841" s="13" t="s">
        <v>840</v>
      </c>
      <c r="B841" s="14">
        <v>44987</v>
      </c>
      <c r="C841" s="2" t="s">
        <v>31</v>
      </c>
      <c r="D841" s="2" t="s">
        <v>29</v>
      </c>
      <c r="E841" s="15">
        <v>2391</v>
      </c>
      <c r="F841" s="2">
        <v>5</v>
      </c>
      <c r="G841" s="15">
        <f>SalesData!$E841*SalesData!$F841</f>
        <v>11955</v>
      </c>
    </row>
    <row r="842" spans="1:7" x14ac:dyDescent="0.35">
      <c r="A842" s="16" t="s">
        <v>841</v>
      </c>
      <c r="B842" s="17">
        <v>45271</v>
      </c>
      <c r="C842" s="3" t="s">
        <v>31</v>
      </c>
      <c r="D842" s="3" t="s">
        <v>17</v>
      </c>
      <c r="E842" s="18">
        <v>23777</v>
      </c>
      <c r="F842" s="3">
        <v>3</v>
      </c>
      <c r="G842" s="18">
        <f>SalesData!$E842*SalesData!$F842</f>
        <v>71331</v>
      </c>
    </row>
    <row r="843" spans="1:7" x14ac:dyDescent="0.35">
      <c r="A843" s="13" t="s">
        <v>842</v>
      </c>
      <c r="B843" s="14">
        <v>45084</v>
      </c>
      <c r="C843" s="2" t="s">
        <v>16</v>
      </c>
      <c r="D843" s="2" t="s">
        <v>29</v>
      </c>
      <c r="E843" s="15">
        <v>19777</v>
      </c>
      <c r="F843" s="2">
        <v>8</v>
      </c>
      <c r="G843" s="15">
        <f>SalesData!$E843*SalesData!$F843</f>
        <v>158216</v>
      </c>
    </row>
    <row r="844" spans="1:7" x14ac:dyDescent="0.35">
      <c r="A844" s="16" t="s">
        <v>843</v>
      </c>
      <c r="B844" s="17">
        <v>45043</v>
      </c>
      <c r="C844" s="3" t="s">
        <v>16</v>
      </c>
      <c r="D844" s="3" t="s">
        <v>25</v>
      </c>
      <c r="E844" s="18">
        <v>16422</v>
      </c>
      <c r="F844" s="3">
        <v>3</v>
      </c>
      <c r="G844" s="18">
        <f>SalesData!$E844*SalesData!$F844</f>
        <v>49266</v>
      </c>
    </row>
    <row r="845" spans="1:7" x14ac:dyDescent="0.35">
      <c r="A845" s="13" t="s">
        <v>844</v>
      </c>
      <c r="B845" s="14">
        <v>45207</v>
      </c>
      <c r="C845" s="2" t="s">
        <v>16</v>
      </c>
      <c r="D845" s="2" t="s">
        <v>17</v>
      </c>
      <c r="E845" s="15">
        <v>18114</v>
      </c>
      <c r="F845" s="2">
        <v>3</v>
      </c>
      <c r="G845" s="15">
        <f>SalesData!$E845*SalesData!$F845</f>
        <v>54342</v>
      </c>
    </row>
    <row r="846" spans="1:7" x14ac:dyDescent="0.35">
      <c r="A846" s="16" t="s">
        <v>845</v>
      </c>
      <c r="B846" s="17">
        <v>45063</v>
      </c>
      <c r="C846" s="3" t="s">
        <v>89</v>
      </c>
      <c r="D846" s="3" t="s">
        <v>29</v>
      </c>
      <c r="E846" s="18">
        <v>40026</v>
      </c>
      <c r="F846" s="3">
        <v>6</v>
      </c>
      <c r="G846" s="18">
        <f>SalesData!$E846*SalesData!$F846</f>
        <v>240156</v>
      </c>
    </row>
    <row r="847" spans="1:7" x14ac:dyDescent="0.35">
      <c r="A847" s="13" t="s">
        <v>846</v>
      </c>
      <c r="B847" s="14">
        <v>45255</v>
      </c>
      <c r="C847" s="2" t="s">
        <v>31</v>
      </c>
      <c r="D847" s="2" t="s">
        <v>23</v>
      </c>
      <c r="E847" s="15">
        <v>10818</v>
      </c>
      <c r="F847" s="2">
        <v>4</v>
      </c>
      <c r="G847" s="15">
        <f>SalesData!$E847*SalesData!$F847</f>
        <v>43272</v>
      </c>
    </row>
    <row r="848" spans="1:7" x14ac:dyDescent="0.35">
      <c r="A848" s="16" t="s">
        <v>847</v>
      </c>
      <c r="B848" s="17">
        <v>45252</v>
      </c>
      <c r="C848" s="3" t="s">
        <v>14</v>
      </c>
      <c r="D848" s="3" t="s">
        <v>29</v>
      </c>
      <c r="E848" s="18">
        <v>46359</v>
      </c>
      <c r="F848" s="3">
        <v>6</v>
      </c>
      <c r="G848" s="18">
        <f>SalesData!$E848*SalesData!$F848</f>
        <v>278154</v>
      </c>
    </row>
    <row r="849" spans="1:7" x14ac:dyDescent="0.35">
      <c r="A849" s="13" t="s">
        <v>848</v>
      </c>
      <c r="B849" s="14">
        <v>45078</v>
      </c>
      <c r="C849" s="2" t="s">
        <v>31</v>
      </c>
      <c r="D849" s="2" t="s">
        <v>23</v>
      </c>
      <c r="E849" s="15">
        <v>25637</v>
      </c>
      <c r="F849" s="2">
        <v>10</v>
      </c>
      <c r="G849" s="15">
        <f>SalesData!$E849*SalesData!$F849</f>
        <v>256370</v>
      </c>
    </row>
    <row r="850" spans="1:7" x14ac:dyDescent="0.35">
      <c r="A850" s="16" t="s">
        <v>849</v>
      </c>
      <c r="B850" s="17">
        <v>44957</v>
      </c>
      <c r="C850" s="3" t="s">
        <v>16</v>
      </c>
      <c r="D850" s="3" t="s">
        <v>29</v>
      </c>
      <c r="E850" s="18">
        <v>8317</v>
      </c>
      <c r="F850" s="3">
        <v>10</v>
      </c>
      <c r="G850" s="18">
        <f>SalesData!$E850*SalesData!$F850</f>
        <v>83170</v>
      </c>
    </row>
    <row r="851" spans="1:7" x14ac:dyDescent="0.35">
      <c r="A851" s="13" t="s">
        <v>850</v>
      </c>
      <c r="B851" s="14">
        <v>45059</v>
      </c>
      <c r="C851" s="2" t="s">
        <v>31</v>
      </c>
      <c r="D851" s="2" t="s">
        <v>23</v>
      </c>
      <c r="E851" s="15">
        <v>49292</v>
      </c>
      <c r="F851" s="2">
        <v>10</v>
      </c>
      <c r="G851" s="15">
        <f>SalesData!$E851*SalesData!$F851</f>
        <v>492920</v>
      </c>
    </row>
    <row r="852" spans="1:7" x14ac:dyDescent="0.35">
      <c r="A852" s="16" t="s">
        <v>851</v>
      </c>
      <c r="B852" s="17">
        <v>45119</v>
      </c>
      <c r="C852" s="3" t="s">
        <v>14</v>
      </c>
      <c r="D852" s="3" t="s">
        <v>23</v>
      </c>
      <c r="E852" s="18">
        <v>4253</v>
      </c>
      <c r="F852" s="3">
        <v>10</v>
      </c>
      <c r="G852" s="18">
        <f>SalesData!$E852*SalesData!$F852</f>
        <v>42530</v>
      </c>
    </row>
    <row r="853" spans="1:7" x14ac:dyDescent="0.35">
      <c r="A853" s="13" t="s">
        <v>852</v>
      </c>
      <c r="B853" s="14">
        <v>45230</v>
      </c>
      <c r="C853" s="2" t="s">
        <v>14</v>
      </c>
      <c r="D853" s="2" t="s">
        <v>20</v>
      </c>
      <c r="E853" s="15">
        <v>17361</v>
      </c>
      <c r="F853" s="2">
        <v>7</v>
      </c>
      <c r="G853" s="15">
        <f>SalesData!$E853*SalesData!$F853</f>
        <v>121527</v>
      </c>
    </row>
    <row r="854" spans="1:7" x14ac:dyDescent="0.35">
      <c r="A854" s="16" t="s">
        <v>853</v>
      </c>
      <c r="B854" s="17">
        <v>44936</v>
      </c>
      <c r="C854" s="3" t="s">
        <v>14</v>
      </c>
      <c r="D854" s="3" t="s">
        <v>29</v>
      </c>
      <c r="E854" s="18">
        <v>607</v>
      </c>
      <c r="F854" s="3">
        <v>4</v>
      </c>
      <c r="G854" s="18">
        <f>SalesData!$E854*SalesData!$F854</f>
        <v>2428</v>
      </c>
    </row>
    <row r="855" spans="1:7" x14ac:dyDescent="0.35">
      <c r="A855" s="16" t="s">
        <v>854</v>
      </c>
      <c r="B855" s="17">
        <v>45040</v>
      </c>
      <c r="C855" s="3" t="s">
        <v>14</v>
      </c>
      <c r="D855" s="3" t="s">
        <v>17</v>
      </c>
      <c r="E855" s="18">
        <v>47741</v>
      </c>
      <c r="F855" s="3">
        <v>8</v>
      </c>
      <c r="G855" s="18">
        <f>SalesData!$E855*SalesData!$F855</f>
        <v>381928</v>
      </c>
    </row>
    <row r="856" spans="1:7" x14ac:dyDescent="0.35">
      <c r="A856" s="13" t="s">
        <v>855</v>
      </c>
      <c r="B856" s="14">
        <v>44989</v>
      </c>
      <c r="C856" s="2" t="s">
        <v>14</v>
      </c>
      <c r="D856" s="2" t="s">
        <v>29</v>
      </c>
      <c r="E856" s="15">
        <v>35771</v>
      </c>
      <c r="F856" s="2">
        <v>4</v>
      </c>
      <c r="G856" s="15">
        <f>SalesData!$E856*SalesData!$F856</f>
        <v>143084</v>
      </c>
    </row>
    <row r="857" spans="1:7" x14ac:dyDescent="0.35">
      <c r="A857" s="16" t="s">
        <v>856</v>
      </c>
      <c r="B857" s="17">
        <v>45125</v>
      </c>
      <c r="C857" s="3" t="s">
        <v>31</v>
      </c>
      <c r="D857" s="3" t="s">
        <v>23</v>
      </c>
      <c r="E857" s="18">
        <v>46954</v>
      </c>
      <c r="F857" s="3">
        <v>8</v>
      </c>
      <c r="G857" s="18">
        <f>SalesData!$E857*SalesData!$F857</f>
        <v>375632</v>
      </c>
    </row>
    <row r="858" spans="1:7" x14ac:dyDescent="0.35">
      <c r="A858" s="13" t="s">
        <v>857</v>
      </c>
      <c r="B858" s="14">
        <v>45015</v>
      </c>
      <c r="C858" s="2" t="s">
        <v>14</v>
      </c>
      <c r="D858" s="2" t="s">
        <v>20</v>
      </c>
      <c r="E858" s="15">
        <v>11730</v>
      </c>
      <c r="F858" s="2">
        <v>3</v>
      </c>
      <c r="G858" s="15">
        <f>SalesData!$E858*SalesData!$F858</f>
        <v>35190</v>
      </c>
    </row>
    <row r="859" spans="1:7" x14ac:dyDescent="0.35">
      <c r="A859" s="16" t="s">
        <v>858</v>
      </c>
      <c r="B859" s="17">
        <v>45136</v>
      </c>
      <c r="C859" s="3" t="s">
        <v>16</v>
      </c>
      <c r="D859" s="3" t="s">
        <v>23</v>
      </c>
      <c r="E859" s="18">
        <v>10322</v>
      </c>
      <c r="F859" s="3">
        <v>9</v>
      </c>
      <c r="G859" s="18">
        <f>SalesData!$E859*SalesData!$F859</f>
        <v>92898</v>
      </c>
    </row>
    <row r="860" spans="1:7" x14ac:dyDescent="0.35">
      <c r="A860" s="13" t="s">
        <v>859</v>
      </c>
      <c r="B860" s="14">
        <v>45212</v>
      </c>
      <c r="C860" s="2" t="s">
        <v>14</v>
      </c>
      <c r="D860" s="2" t="s">
        <v>23</v>
      </c>
      <c r="E860" s="15">
        <v>44450</v>
      </c>
      <c r="F860" s="2">
        <v>5</v>
      </c>
      <c r="G860" s="15">
        <f>SalesData!$E860*SalesData!$F860</f>
        <v>222250</v>
      </c>
    </row>
    <row r="861" spans="1:7" x14ac:dyDescent="0.35">
      <c r="A861" s="16" t="s">
        <v>860</v>
      </c>
      <c r="B861" s="17">
        <v>45249</v>
      </c>
      <c r="C861" s="3" t="s">
        <v>31</v>
      </c>
      <c r="D861" s="3" t="s">
        <v>17</v>
      </c>
      <c r="E861" s="18">
        <v>47499</v>
      </c>
      <c r="F861" s="3">
        <v>10</v>
      </c>
      <c r="G861" s="18">
        <f>SalesData!$E861*SalesData!$F861</f>
        <v>474990</v>
      </c>
    </row>
    <row r="862" spans="1:7" x14ac:dyDescent="0.35">
      <c r="A862" s="13" t="s">
        <v>861</v>
      </c>
      <c r="B862" s="14">
        <v>45242</v>
      </c>
      <c r="C862" s="2" t="s">
        <v>16</v>
      </c>
      <c r="D862" s="2" t="s">
        <v>20</v>
      </c>
      <c r="E862" s="15">
        <v>34118</v>
      </c>
      <c r="F862" s="2">
        <v>7</v>
      </c>
      <c r="G862" s="15">
        <f>SalesData!$E862*SalesData!$F862</f>
        <v>238826</v>
      </c>
    </row>
    <row r="863" spans="1:7" x14ac:dyDescent="0.35">
      <c r="A863" s="16" t="s">
        <v>862</v>
      </c>
      <c r="B863" s="17">
        <v>45059</v>
      </c>
      <c r="C863" s="3" t="s">
        <v>14</v>
      </c>
      <c r="D863" s="3" t="s">
        <v>25</v>
      </c>
      <c r="E863" s="18">
        <v>4285</v>
      </c>
      <c r="F863" s="3">
        <v>1</v>
      </c>
      <c r="G863" s="18">
        <f>SalesData!$E863*SalesData!$F863</f>
        <v>4285</v>
      </c>
    </row>
    <row r="864" spans="1:7" x14ac:dyDescent="0.35">
      <c r="A864" s="13" t="s">
        <v>863</v>
      </c>
      <c r="B864" s="14">
        <v>45232</v>
      </c>
      <c r="C864" s="2" t="s">
        <v>89</v>
      </c>
      <c r="D864" s="2" t="s">
        <v>25</v>
      </c>
      <c r="E864" s="15">
        <v>30994</v>
      </c>
      <c r="F864" s="2">
        <v>9</v>
      </c>
      <c r="G864" s="15">
        <f>SalesData!$E864*SalesData!$F864</f>
        <v>278946</v>
      </c>
    </row>
    <row r="865" spans="1:7" x14ac:dyDescent="0.35">
      <c r="A865" s="16" t="s">
        <v>864</v>
      </c>
      <c r="B865" s="17">
        <v>45015</v>
      </c>
      <c r="C865" s="3" t="s">
        <v>16</v>
      </c>
      <c r="D865" s="3" t="s">
        <v>20</v>
      </c>
      <c r="E865" s="18">
        <v>36289</v>
      </c>
      <c r="F865" s="3">
        <v>10</v>
      </c>
      <c r="G865" s="18">
        <f>SalesData!$E865*SalesData!$F865</f>
        <v>362890</v>
      </c>
    </row>
    <row r="866" spans="1:7" x14ac:dyDescent="0.35">
      <c r="A866" s="13" t="s">
        <v>865</v>
      </c>
      <c r="B866" s="14">
        <v>45287</v>
      </c>
      <c r="C866" s="2" t="s">
        <v>31</v>
      </c>
      <c r="D866" s="2" t="s">
        <v>29</v>
      </c>
      <c r="E866" s="15">
        <v>8459</v>
      </c>
      <c r="F866" s="2">
        <v>4</v>
      </c>
      <c r="G866" s="15">
        <f>SalesData!$E866*SalesData!$F866</f>
        <v>33836</v>
      </c>
    </row>
    <row r="867" spans="1:7" x14ac:dyDescent="0.35">
      <c r="A867" s="16" t="s">
        <v>866</v>
      </c>
      <c r="B867" s="17">
        <v>45034</v>
      </c>
      <c r="C867" s="3" t="s">
        <v>31</v>
      </c>
      <c r="D867" s="3" t="s">
        <v>20</v>
      </c>
      <c r="E867" s="18">
        <v>47538</v>
      </c>
      <c r="F867" s="3">
        <v>4</v>
      </c>
      <c r="G867" s="18">
        <f>SalesData!$E867*SalesData!$F867</f>
        <v>190152</v>
      </c>
    </row>
    <row r="868" spans="1:7" x14ac:dyDescent="0.35">
      <c r="A868" s="13" t="s">
        <v>867</v>
      </c>
      <c r="B868" s="14">
        <v>45026</v>
      </c>
      <c r="C868" s="2" t="s">
        <v>31</v>
      </c>
      <c r="D868" s="2" t="s">
        <v>17</v>
      </c>
      <c r="E868" s="15">
        <v>31364</v>
      </c>
      <c r="F868" s="2">
        <v>2</v>
      </c>
      <c r="G868" s="15">
        <f>SalesData!$E868*SalesData!$F868</f>
        <v>62728</v>
      </c>
    </row>
    <row r="869" spans="1:7" x14ac:dyDescent="0.35">
      <c r="A869" s="16" t="s">
        <v>868</v>
      </c>
      <c r="B869" s="17">
        <v>45176</v>
      </c>
      <c r="C869" s="3" t="s">
        <v>89</v>
      </c>
      <c r="D869" s="3" t="s">
        <v>20</v>
      </c>
      <c r="E869" s="18">
        <v>11472</v>
      </c>
      <c r="F869" s="3">
        <v>6</v>
      </c>
      <c r="G869" s="18">
        <f>SalesData!$E869*SalesData!$F869</f>
        <v>68832</v>
      </c>
    </row>
    <row r="870" spans="1:7" x14ac:dyDescent="0.35">
      <c r="A870" s="13" t="s">
        <v>869</v>
      </c>
      <c r="B870" s="14">
        <v>44994</v>
      </c>
      <c r="C870" s="2" t="s">
        <v>89</v>
      </c>
      <c r="D870" s="2" t="s">
        <v>17</v>
      </c>
      <c r="E870" s="15">
        <v>31510</v>
      </c>
      <c r="F870" s="2">
        <v>6</v>
      </c>
      <c r="G870" s="15">
        <f>SalesData!$E870*SalesData!$F870</f>
        <v>189060</v>
      </c>
    </row>
    <row r="871" spans="1:7" x14ac:dyDescent="0.35">
      <c r="A871" s="16" t="s">
        <v>870</v>
      </c>
      <c r="B871" s="17">
        <v>45179</v>
      </c>
      <c r="C871" s="3" t="s">
        <v>16</v>
      </c>
      <c r="D871" s="3" t="s">
        <v>25</v>
      </c>
      <c r="E871" s="18">
        <v>3850</v>
      </c>
      <c r="F871" s="3">
        <v>4</v>
      </c>
      <c r="G871" s="18">
        <f>SalesData!$E871*SalesData!$F871</f>
        <v>15400</v>
      </c>
    </row>
    <row r="872" spans="1:7" x14ac:dyDescent="0.35">
      <c r="A872" s="13" t="s">
        <v>870</v>
      </c>
      <c r="B872" s="14">
        <v>45179</v>
      </c>
      <c r="C872" s="2" t="s">
        <v>16</v>
      </c>
      <c r="D872" s="2" t="s">
        <v>25</v>
      </c>
      <c r="E872" s="15">
        <v>3850</v>
      </c>
      <c r="F872" s="2">
        <v>4</v>
      </c>
      <c r="G872" s="15">
        <f>SalesData!$E872*SalesData!$F872</f>
        <v>15400</v>
      </c>
    </row>
    <row r="873" spans="1:7" x14ac:dyDescent="0.35">
      <c r="A873" s="13" t="s">
        <v>871</v>
      </c>
      <c r="B873" s="14">
        <v>45149</v>
      </c>
      <c r="C873" s="2" t="s">
        <v>16</v>
      </c>
      <c r="D873" s="2" t="s">
        <v>29</v>
      </c>
      <c r="E873" s="15">
        <v>7822</v>
      </c>
      <c r="F873" s="2">
        <v>4</v>
      </c>
      <c r="G873" s="15">
        <f>SalesData!$E873*SalesData!$F873</f>
        <v>31288</v>
      </c>
    </row>
    <row r="874" spans="1:7" x14ac:dyDescent="0.35">
      <c r="A874" s="16" t="s">
        <v>872</v>
      </c>
      <c r="B874" s="17">
        <v>44944</v>
      </c>
      <c r="C874" s="3" t="s">
        <v>89</v>
      </c>
      <c r="D874" s="3" t="s">
        <v>20</v>
      </c>
      <c r="E874" s="18">
        <v>25297</v>
      </c>
      <c r="F874" s="3">
        <v>8</v>
      </c>
      <c r="G874" s="18">
        <f>SalesData!$E874*SalesData!$F874</f>
        <v>202376</v>
      </c>
    </row>
    <row r="875" spans="1:7" x14ac:dyDescent="0.35">
      <c r="A875" s="13" t="s">
        <v>873</v>
      </c>
      <c r="B875" s="14">
        <v>45239</v>
      </c>
      <c r="C875" s="2" t="s">
        <v>31</v>
      </c>
      <c r="D875" s="2" t="s">
        <v>23</v>
      </c>
      <c r="E875" s="15">
        <v>25005</v>
      </c>
      <c r="F875" s="2">
        <v>7</v>
      </c>
      <c r="G875" s="15">
        <f>SalesData!$E875*SalesData!$F875</f>
        <v>175035</v>
      </c>
    </row>
    <row r="876" spans="1:7" x14ac:dyDescent="0.35">
      <c r="A876" s="16" t="s">
        <v>874</v>
      </c>
      <c r="B876" s="17">
        <v>44958</v>
      </c>
      <c r="C876" s="3" t="s">
        <v>14</v>
      </c>
      <c r="D876" s="3" t="s">
        <v>23</v>
      </c>
      <c r="E876" s="18">
        <v>1257</v>
      </c>
      <c r="F876" s="3">
        <v>9</v>
      </c>
      <c r="G876" s="18">
        <f>SalesData!$E876*SalesData!$F876</f>
        <v>11313</v>
      </c>
    </row>
    <row r="877" spans="1:7" x14ac:dyDescent="0.35">
      <c r="A877" s="13" t="s">
        <v>875</v>
      </c>
      <c r="B877" s="14">
        <v>45151</v>
      </c>
      <c r="C877" s="2" t="s">
        <v>31</v>
      </c>
      <c r="D877" s="2" t="s">
        <v>25</v>
      </c>
      <c r="E877" s="15">
        <v>14117</v>
      </c>
      <c r="F877" s="2">
        <v>2</v>
      </c>
      <c r="G877" s="15">
        <f>SalesData!$E877*SalesData!$F877</f>
        <v>28234</v>
      </c>
    </row>
    <row r="878" spans="1:7" x14ac:dyDescent="0.35">
      <c r="A878" s="16" t="s">
        <v>876</v>
      </c>
      <c r="B878" s="17">
        <v>45092</v>
      </c>
      <c r="C878" s="3" t="s">
        <v>89</v>
      </c>
      <c r="D878" s="3" t="s">
        <v>20</v>
      </c>
      <c r="E878" s="18">
        <v>14988</v>
      </c>
      <c r="F878" s="3">
        <v>3</v>
      </c>
      <c r="G878" s="18">
        <f>SalesData!$E878*SalesData!$F878</f>
        <v>44964</v>
      </c>
    </row>
    <row r="879" spans="1:7" x14ac:dyDescent="0.35">
      <c r="A879" s="13" t="s">
        <v>877</v>
      </c>
      <c r="B879" s="14">
        <v>45028</v>
      </c>
      <c r="C879" s="2" t="s">
        <v>14</v>
      </c>
      <c r="D879" s="2" t="s">
        <v>20</v>
      </c>
      <c r="E879" s="15">
        <v>40683</v>
      </c>
      <c r="F879" s="2">
        <v>10</v>
      </c>
      <c r="G879" s="15">
        <f>SalesData!$E879*SalesData!$F879</f>
        <v>406830</v>
      </c>
    </row>
    <row r="880" spans="1:7" x14ac:dyDescent="0.35">
      <c r="A880" s="16" t="s">
        <v>878</v>
      </c>
      <c r="B880" s="17">
        <v>44970</v>
      </c>
      <c r="C880" s="3" t="s">
        <v>14</v>
      </c>
      <c r="D880" s="3" t="s">
        <v>29</v>
      </c>
      <c r="E880" s="18">
        <v>27552</v>
      </c>
      <c r="F880" s="3">
        <v>1</v>
      </c>
      <c r="G880" s="18">
        <f>SalesData!$E880*SalesData!$F880</f>
        <v>27552</v>
      </c>
    </row>
    <row r="881" spans="1:7" x14ac:dyDescent="0.35">
      <c r="A881" s="13" t="s">
        <v>879</v>
      </c>
      <c r="B881" s="14">
        <v>45013</v>
      </c>
      <c r="C881" s="2" t="s">
        <v>16</v>
      </c>
      <c r="D881" s="2" t="s">
        <v>20</v>
      </c>
      <c r="E881" s="15">
        <v>39758</v>
      </c>
      <c r="F881" s="2">
        <v>5</v>
      </c>
      <c r="G881" s="15">
        <f>SalesData!$E881*SalesData!$F881</f>
        <v>198790</v>
      </c>
    </row>
    <row r="882" spans="1:7" x14ac:dyDescent="0.35">
      <c r="A882" s="16" t="s">
        <v>880</v>
      </c>
      <c r="B882" s="17">
        <v>45234</v>
      </c>
      <c r="C882" s="3" t="s">
        <v>14</v>
      </c>
      <c r="D882" s="3" t="s">
        <v>17</v>
      </c>
      <c r="E882" s="18">
        <v>47834</v>
      </c>
      <c r="F882" s="3">
        <v>8</v>
      </c>
      <c r="G882" s="18">
        <f>SalesData!$E882*SalesData!$F882</f>
        <v>382672</v>
      </c>
    </row>
    <row r="883" spans="1:7" x14ac:dyDescent="0.35">
      <c r="A883" s="13" t="s">
        <v>881</v>
      </c>
      <c r="B883" s="14">
        <v>45273</v>
      </c>
      <c r="C883" s="2" t="s">
        <v>31</v>
      </c>
      <c r="D883" s="2" t="s">
        <v>23</v>
      </c>
      <c r="E883" s="15">
        <v>14059</v>
      </c>
      <c r="F883" s="2">
        <v>4</v>
      </c>
      <c r="G883" s="15">
        <f>SalesData!$E883*SalesData!$F883</f>
        <v>56236</v>
      </c>
    </row>
    <row r="884" spans="1:7" x14ac:dyDescent="0.35">
      <c r="A884" s="16" t="s">
        <v>882</v>
      </c>
      <c r="B884" s="17">
        <v>44958</v>
      </c>
      <c r="C884" s="3" t="s">
        <v>16</v>
      </c>
      <c r="D884" s="3" t="s">
        <v>25</v>
      </c>
      <c r="E884" s="18">
        <v>3109</v>
      </c>
      <c r="F884" s="3">
        <v>1</v>
      </c>
      <c r="G884" s="18">
        <f>SalesData!$E884*SalesData!$F884</f>
        <v>3109</v>
      </c>
    </row>
    <row r="885" spans="1:7" x14ac:dyDescent="0.35">
      <c r="A885" s="13" t="s">
        <v>883</v>
      </c>
      <c r="B885" s="14">
        <v>45049</v>
      </c>
      <c r="C885" s="2" t="s">
        <v>14</v>
      </c>
      <c r="D885" s="2" t="s">
        <v>20</v>
      </c>
      <c r="E885" s="15">
        <v>31697</v>
      </c>
      <c r="F885" s="2">
        <v>1</v>
      </c>
      <c r="G885" s="15">
        <f>SalesData!$E885*SalesData!$F885</f>
        <v>31697</v>
      </c>
    </row>
    <row r="886" spans="1:7" x14ac:dyDescent="0.35">
      <c r="A886" s="13" t="s">
        <v>884</v>
      </c>
      <c r="B886" s="14">
        <v>45119</v>
      </c>
      <c r="C886" s="2" t="s">
        <v>16</v>
      </c>
      <c r="D886" s="2" t="s">
        <v>17</v>
      </c>
      <c r="E886" s="15">
        <v>22846</v>
      </c>
      <c r="F886" s="2">
        <v>3</v>
      </c>
      <c r="G886" s="15">
        <f>SalesData!$E886*SalesData!$F886</f>
        <v>68538</v>
      </c>
    </row>
    <row r="887" spans="1:7" x14ac:dyDescent="0.35">
      <c r="A887" s="16" t="s">
        <v>885</v>
      </c>
      <c r="B887" s="17">
        <v>45080</v>
      </c>
      <c r="C887" s="3" t="s">
        <v>31</v>
      </c>
      <c r="D887" s="3" t="s">
        <v>17</v>
      </c>
      <c r="E887" s="18">
        <v>10278</v>
      </c>
      <c r="F887" s="3">
        <v>8</v>
      </c>
      <c r="G887" s="18">
        <f>SalesData!$E887*SalesData!$F887</f>
        <v>82224</v>
      </c>
    </row>
    <row r="888" spans="1:7" x14ac:dyDescent="0.35">
      <c r="A888" s="13" t="s">
        <v>885</v>
      </c>
      <c r="B888" s="14">
        <v>45080</v>
      </c>
      <c r="C888" s="2" t="s">
        <v>31</v>
      </c>
      <c r="D888" s="2" t="s">
        <v>17</v>
      </c>
      <c r="E888" s="15">
        <v>10278</v>
      </c>
      <c r="F888" s="2">
        <v>8</v>
      </c>
      <c r="G888" s="15">
        <f>SalesData!$E888*SalesData!$F888</f>
        <v>82224</v>
      </c>
    </row>
    <row r="889" spans="1:7" x14ac:dyDescent="0.35">
      <c r="A889" s="16" t="s">
        <v>886</v>
      </c>
      <c r="B889" s="17">
        <v>45137</v>
      </c>
      <c r="C889" s="3" t="s">
        <v>89</v>
      </c>
      <c r="D889" s="3" t="s">
        <v>29</v>
      </c>
      <c r="E889" s="18">
        <v>4766</v>
      </c>
      <c r="F889" s="3">
        <v>6</v>
      </c>
      <c r="G889" s="18">
        <f>SalesData!$E889*SalesData!$F889</f>
        <v>28596</v>
      </c>
    </row>
    <row r="890" spans="1:7" x14ac:dyDescent="0.35">
      <c r="A890" s="13" t="s">
        <v>887</v>
      </c>
      <c r="B890" s="14">
        <v>45210</v>
      </c>
      <c r="C890" s="2" t="s">
        <v>16</v>
      </c>
      <c r="D890" s="2" t="s">
        <v>17</v>
      </c>
      <c r="E890" s="15">
        <v>18667</v>
      </c>
      <c r="F890" s="2">
        <v>8</v>
      </c>
      <c r="G890" s="15">
        <f>SalesData!$E890*SalesData!$F890</f>
        <v>149336</v>
      </c>
    </row>
    <row r="891" spans="1:7" x14ac:dyDescent="0.35">
      <c r="A891" s="16" t="s">
        <v>888</v>
      </c>
      <c r="B891" s="17">
        <v>45055</v>
      </c>
      <c r="C891" s="3" t="s">
        <v>31</v>
      </c>
      <c r="D891" s="3" t="s">
        <v>25</v>
      </c>
      <c r="E891" s="18">
        <v>6271</v>
      </c>
      <c r="F891" s="3">
        <v>9</v>
      </c>
      <c r="G891" s="18">
        <f>SalesData!$E891*SalesData!$F891</f>
        <v>56439</v>
      </c>
    </row>
    <row r="892" spans="1:7" x14ac:dyDescent="0.35">
      <c r="A892" s="13" t="s">
        <v>889</v>
      </c>
      <c r="B892" s="14">
        <v>45266</v>
      </c>
      <c r="C892" s="2" t="s">
        <v>16</v>
      </c>
      <c r="D892" s="2" t="s">
        <v>17</v>
      </c>
      <c r="E892" s="15">
        <v>13897</v>
      </c>
      <c r="F892" s="2">
        <v>2</v>
      </c>
      <c r="G892" s="15">
        <f>SalesData!$E892*SalesData!$F892</f>
        <v>27794</v>
      </c>
    </row>
    <row r="893" spans="1:7" x14ac:dyDescent="0.35">
      <c r="A893" s="16" t="s">
        <v>890</v>
      </c>
      <c r="B893" s="17">
        <v>45187</v>
      </c>
      <c r="C893" s="3" t="s">
        <v>16</v>
      </c>
      <c r="D893" s="3" t="s">
        <v>20</v>
      </c>
      <c r="E893" s="18">
        <v>37555</v>
      </c>
      <c r="F893" s="3">
        <v>8</v>
      </c>
      <c r="G893" s="18">
        <f>SalesData!$E893*SalesData!$F893</f>
        <v>300440</v>
      </c>
    </row>
    <row r="894" spans="1:7" x14ac:dyDescent="0.35">
      <c r="A894" s="13" t="s">
        <v>891</v>
      </c>
      <c r="B894" s="14">
        <v>45077</v>
      </c>
      <c r="C894" s="2" t="s">
        <v>31</v>
      </c>
      <c r="D894" s="2" t="s">
        <v>20</v>
      </c>
      <c r="E894" s="15">
        <v>9947</v>
      </c>
      <c r="F894" s="2">
        <v>1</v>
      </c>
      <c r="G894" s="15">
        <f>SalesData!$E894*SalesData!$F894</f>
        <v>9947</v>
      </c>
    </row>
    <row r="895" spans="1:7" x14ac:dyDescent="0.35">
      <c r="A895" s="16" t="s">
        <v>892</v>
      </c>
      <c r="B895" s="17">
        <v>45172</v>
      </c>
      <c r="C895" s="3" t="s">
        <v>14</v>
      </c>
      <c r="D895" s="3" t="s">
        <v>29</v>
      </c>
      <c r="E895" s="18">
        <v>28711</v>
      </c>
      <c r="F895" s="3">
        <v>5</v>
      </c>
      <c r="G895" s="18">
        <f>SalesData!$E895*SalesData!$F895</f>
        <v>143555</v>
      </c>
    </row>
    <row r="896" spans="1:7" x14ac:dyDescent="0.35">
      <c r="A896" s="13" t="s">
        <v>893</v>
      </c>
      <c r="B896" s="14">
        <v>45101</v>
      </c>
      <c r="C896" s="2" t="s">
        <v>31</v>
      </c>
      <c r="D896" s="2" t="s">
        <v>17</v>
      </c>
      <c r="E896" s="15">
        <v>44336</v>
      </c>
      <c r="F896" s="2">
        <v>2</v>
      </c>
      <c r="G896" s="15">
        <f>SalesData!$E896*SalesData!$F896</f>
        <v>88672</v>
      </c>
    </row>
    <row r="897" spans="1:7" x14ac:dyDescent="0.35">
      <c r="A897" s="13" t="s">
        <v>894</v>
      </c>
      <c r="B897" s="14">
        <v>44931</v>
      </c>
      <c r="C897" s="2" t="s">
        <v>16</v>
      </c>
      <c r="D897" s="2" t="s">
        <v>23</v>
      </c>
      <c r="E897" s="15">
        <v>2481</v>
      </c>
      <c r="F897" s="2">
        <v>3</v>
      </c>
      <c r="G897" s="15">
        <f>SalesData!$E897*SalesData!$F897</f>
        <v>7443</v>
      </c>
    </row>
    <row r="898" spans="1:7" x14ac:dyDescent="0.35">
      <c r="A898" s="16" t="s">
        <v>895</v>
      </c>
      <c r="B898" s="17">
        <v>45177</v>
      </c>
      <c r="C898" s="3" t="s">
        <v>16</v>
      </c>
      <c r="D898" s="3" t="s">
        <v>17</v>
      </c>
      <c r="E898" s="18">
        <v>17592</v>
      </c>
      <c r="F898" s="3">
        <v>3</v>
      </c>
      <c r="G898" s="18">
        <f>SalesData!$E898*SalesData!$F898</f>
        <v>52776</v>
      </c>
    </row>
    <row r="899" spans="1:7" x14ac:dyDescent="0.35">
      <c r="A899" s="13" t="s">
        <v>896</v>
      </c>
      <c r="B899" s="14">
        <v>44975</v>
      </c>
      <c r="C899" s="2" t="s">
        <v>14</v>
      </c>
      <c r="D899" s="2" t="s">
        <v>17</v>
      </c>
      <c r="E899" s="15">
        <v>14464</v>
      </c>
      <c r="F899" s="2">
        <v>3</v>
      </c>
      <c r="G899" s="15">
        <f>SalesData!$E899*SalesData!$F899</f>
        <v>43392</v>
      </c>
    </row>
    <row r="900" spans="1:7" x14ac:dyDescent="0.35">
      <c r="A900" s="16" t="s">
        <v>897</v>
      </c>
      <c r="B900" s="17">
        <v>45022</v>
      </c>
      <c r="C900" s="3" t="s">
        <v>89</v>
      </c>
      <c r="D900" s="3" t="s">
        <v>20</v>
      </c>
      <c r="E900" s="18">
        <v>19645</v>
      </c>
      <c r="F900" s="3">
        <v>1</v>
      </c>
      <c r="G900" s="18">
        <f>SalesData!$E900*SalesData!$F900</f>
        <v>19645</v>
      </c>
    </row>
    <row r="901" spans="1:7" x14ac:dyDescent="0.35">
      <c r="A901" s="13" t="s">
        <v>898</v>
      </c>
      <c r="B901" s="14">
        <v>45081</v>
      </c>
      <c r="C901" s="2" t="s">
        <v>31</v>
      </c>
      <c r="D901" s="2" t="s">
        <v>20</v>
      </c>
      <c r="E901" s="15">
        <v>17445</v>
      </c>
      <c r="F901" s="2">
        <v>1</v>
      </c>
      <c r="G901" s="15">
        <f>SalesData!$E901*SalesData!$F901</f>
        <v>17445</v>
      </c>
    </row>
    <row r="902" spans="1:7" x14ac:dyDescent="0.35">
      <c r="A902" s="16" t="s">
        <v>899</v>
      </c>
      <c r="B902" s="17">
        <v>45083</v>
      </c>
      <c r="C902" s="3" t="s">
        <v>16</v>
      </c>
      <c r="D902" s="3" t="s">
        <v>23</v>
      </c>
      <c r="E902" s="18">
        <v>21107</v>
      </c>
      <c r="F902" s="3">
        <v>1</v>
      </c>
      <c r="G902" s="18">
        <f>SalesData!$E902*SalesData!$F902</f>
        <v>21107</v>
      </c>
    </row>
    <row r="903" spans="1:7" x14ac:dyDescent="0.35">
      <c r="A903" s="13" t="s">
        <v>900</v>
      </c>
      <c r="B903" s="14">
        <v>45267</v>
      </c>
      <c r="C903" s="2" t="s">
        <v>31</v>
      </c>
      <c r="D903" s="2" t="s">
        <v>25</v>
      </c>
      <c r="E903" s="15">
        <v>15240</v>
      </c>
      <c r="F903" s="2">
        <v>2</v>
      </c>
      <c r="G903" s="15">
        <f>SalesData!$E903*SalesData!$F903</f>
        <v>30480</v>
      </c>
    </row>
    <row r="904" spans="1:7" x14ac:dyDescent="0.35">
      <c r="A904" s="13" t="s">
        <v>901</v>
      </c>
      <c r="B904" s="14">
        <v>45233</v>
      </c>
      <c r="C904" s="2" t="s">
        <v>16</v>
      </c>
      <c r="D904" s="2" t="s">
        <v>17</v>
      </c>
      <c r="E904" s="15">
        <v>25624</v>
      </c>
      <c r="F904" s="2">
        <v>7</v>
      </c>
      <c r="G904" s="15">
        <f>SalesData!$E904*SalesData!$F904</f>
        <v>179368</v>
      </c>
    </row>
    <row r="905" spans="1:7" x14ac:dyDescent="0.35">
      <c r="A905" s="13" t="s">
        <v>902</v>
      </c>
      <c r="B905" s="14">
        <v>45106</v>
      </c>
      <c r="C905" s="2" t="s">
        <v>14</v>
      </c>
      <c r="D905" s="2" t="s">
        <v>17</v>
      </c>
      <c r="E905" s="15">
        <v>23271</v>
      </c>
      <c r="F905" s="2">
        <v>2</v>
      </c>
      <c r="G905" s="15">
        <f>SalesData!$E905*SalesData!$F905</f>
        <v>46542</v>
      </c>
    </row>
    <row r="906" spans="1:7" x14ac:dyDescent="0.35">
      <c r="A906" s="16" t="s">
        <v>903</v>
      </c>
      <c r="B906" s="17">
        <v>44958</v>
      </c>
      <c r="C906" s="3" t="s">
        <v>89</v>
      </c>
      <c r="D906" s="3" t="s">
        <v>29</v>
      </c>
      <c r="E906" s="18">
        <v>32647</v>
      </c>
      <c r="F906" s="3">
        <v>8</v>
      </c>
      <c r="G906" s="18">
        <f>SalesData!$E906*SalesData!$F906</f>
        <v>261176</v>
      </c>
    </row>
    <row r="907" spans="1:7" x14ac:dyDescent="0.35">
      <c r="A907" s="13" t="s">
        <v>904</v>
      </c>
      <c r="B907" s="14">
        <v>45004</v>
      </c>
      <c r="C907" s="2" t="s">
        <v>16</v>
      </c>
      <c r="D907" s="2" t="s">
        <v>23</v>
      </c>
      <c r="E907" s="15">
        <v>27621</v>
      </c>
      <c r="F907" s="2">
        <v>5</v>
      </c>
      <c r="G907" s="15">
        <f>SalesData!$E907*SalesData!$F907</f>
        <v>138105</v>
      </c>
    </row>
    <row r="908" spans="1:7" x14ac:dyDescent="0.35">
      <c r="A908" s="16" t="s">
        <v>905</v>
      </c>
      <c r="B908" s="17">
        <v>45131</v>
      </c>
      <c r="C908" s="3" t="s">
        <v>14</v>
      </c>
      <c r="D908" s="3" t="s">
        <v>29</v>
      </c>
      <c r="E908" s="18">
        <v>22007</v>
      </c>
      <c r="F908" s="3">
        <v>5</v>
      </c>
      <c r="G908" s="18">
        <f>SalesData!$E908*SalesData!$F908</f>
        <v>110035</v>
      </c>
    </row>
    <row r="909" spans="1:7" x14ac:dyDescent="0.35">
      <c r="A909" s="13" t="s">
        <v>906</v>
      </c>
      <c r="B909" s="14">
        <v>45067</v>
      </c>
      <c r="C909" s="2" t="s">
        <v>31</v>
      </c>
      <c r="D909" s="2" t="s">
        <v>20</v>
      </c>
      <c r="E909" s="15">
        <v>29553</v>
      </c>
      <c r="F909" s="2">
        <v>2</v>
      </c>
      <c r="G909" s="15">
        <f>SalesData!$E909*SalesData!$F909</f>
        <v>59106</v>
      </c>
    </row>
    <row r="910" spans="1:7" x14ac:dyDescent="0.35">
      <c r="A910" s="16" t="s">
        <v>907</v>
      </c>
      <c r="B910" s="17">
        <v>45291</v>
      </c>
      <c r="C910" s="3" t="s">
        <v>89</v>
      </c>
      <c r="D910" s="3" t="s">
        <v>23</v>
      </c>
      <c r="E910" s="18">
        <v>32717</v>
      </c>
      <c r="F910" s="3">
        <v>2</v>
      </c>
      <c r="G910" s="18">
        <f>SalesData!$E910*SalesData!$F910</f>
        <v>65434</v>
      </c>
    </row>
    <row r="911" spans="1:7" x14ac:dyDescent="0.35">
      <c r="A911" s="13" t="s">
        <v>908</v>
      </c>
      <c r="B911" s="14">
        <v>45069</v>
      </c>
      <c r="C911" s="2" t="s">
        <v>16</v>
      </c>
      <c r="D911" s="2" t="s">
        <v>17</v>
      </c>
      <c r="E911" s="15">
        <v>5537</v>
      </c>
      <c r="F911" s="2">
        <v>2</v>
      </c>
      <c r="G911" s="15">
        <f>SalesData!$E911*SalesData!$F911</f>
        <v>11074</v>
      </c>
    </row>
    <row r="912" spans="1:7" x14ac:dyDescent="0.35">
      <c r="A912" s="13" t="s">
        <v>909</v>
      </c>
      <c r="B912" s="14">
        <v>45026</v>
      </c>
      <c r="C912" s="2" t="s">
        <v>89</v>
      </c>
      <c r="D912" s="2" t="s">
        <v>20</v>
      </c>
      <c r="E912" s="15">
        <v>30239</v>
      </c>
      <c r="F912" s="2">
        <v>7</v>
      </c>
      <c r="G912" s="15">
        <f>SalesData!$E912*SalesData!$F912</f>
        <v>211673</v>
      </c>
    </row>
    <row r="913" spans="1:7" x14ac:dyDescent="0.35">
      <c r="A913" s="16" t="s">
        <v>910</v>
      </c>
      <c r="B913" s="17">
        <v>45022</v>
      </c>
      <c r="C913" s="3" t="s">
        <v>89</v>
      </c>
      <c r="D913" s="3" t="s">
        <v>25</v>
      </c>
      <c r="E913" s="18">
        <v>1728</v>
      </c>
      <c r="F913" s="3">
        <v>2</v>
      </c>
      <c r="G913" s="18">
        <f>SalesData!$E913*SalesData!$F913</f>
        <v>3456</v>
      </c>
    </row>
    <row r="914" spans="1:7" x14ac:dyDescent="0.35">
      <c r="A914" s="13" t="s">
        <v>911</v>
      </c>
      <c r="B914" s="14">
        <v>45178</v>
      </c>
      <c r="C914" s="2" t="s">
        <v>89</v>
      </c>
      <c r="D914" s="2" t="s">
        <v>23</v>
      </c>
      <c r="E914" s="15">
        <v>33027</v>
      </c>
      <c r="F914" s="2">
        <v>2</v>
      </c>
      <c r="G914" s="15">
        <f>SalesData!$E914*SalesData!$F914</f>
        <v>66054</v>
      </c>
    </row>
    <row r="915" spans="1:7" x14ac:dyDescent="0.35">
      <c r="A915" s="13" t="s">
        <v>912</v>
      </c>
      <c r="B915" s="14">
        <v>44932</v>
      </c>
      <c r="C915" s="2" t="s">
        <v>14</v>
      </c>
      <c r="D915" s="2" t="s">
        <v>25</v>
      </c>
      <c r="E915" s="15">
        <v>33300</v>
      </c>
      <c r="F915" s="2">
        <v>7</v>
      </c>
      <c r="G915" s="15">
        <f>SalesData!$E915*SalesData!$F915</f>
        <v>233100</v>
      </c>
    </row>
    <row r="916" spans="1:7" x14ac:dyDescent="0.35">
      <c r="A916" s="16" t="s">
        <v>913</v>
      </c>
      <c r="B916" s="17">
        <v>45048</v>
      </c>
      <c r="C916" s="3" t="s">
        <v>16</v>
      </c>
      <c r="D916" s="3" t="s">
        <v>23</v>
      </c>
      <c r="E916" s="18">
        <v>34483</v>
      </c>
      <c r="F916" s="3">
        <v>10</v>
      </c>
      <c r="G916" s="18">
        <f>SalesData!$E916*SalesData!$F916</f>
        <v>344830</v>
      </c>
    </row>
    <row r="917" spans="1:7" x14ac:dyDescent="0.35">
      <c r="A917" s="13" t="s">
        <v>914</v>
      </c>
      <c r="B917" s="14">
        <v>45068</v>
      </c>
      <c r="C917" s="2" t="s">
        <v>31</v>
      </c>
      <c r="D917" s="2" t="s">
        <v>29</v>
      </c>
      <c r="E917" s="15">
        <v>23945</v>
      </c>
      <c r="F917" s="2">
        <v>9</v>
      </c>
      <c r="G917" s="15">
        <f>SalesData!$E917*SalesData!$F917</f>
        <v>215505</v>
      </c>
    </row>
    <row r="918" spans="1:7" x14ac:dyDescent="0.35">
      <c r="A918" s="16" t="s">
        <v>915</v>
      </c>
      <c r="B918" s="17">
        <v>45093</v>
      </c>
      <c r="C918" s="3" t="s">
        <v>89</v>
      </c>
      <c r="D918" s="3" t="s">
        <v>23</v>
      </c>
      <c r="E918" s="18">
        <v>354</v>
      </c>
      <c r="F918" s="3">
        <v>10</v>
      </c>
      <c r="G918" s="18">
        <f>SalesData!$E918*SalesData!$F918</f>
        <v>3540</v>
      </c>
    </row>
    <row r="919" spans="1:7" x14ac:dyDescent="0.35">
      <c r="A919" s="13" t="s">
        <v>916</v>
      </c>
      <c r="B919" s="14">
        <v>45012</v>
      </c>
      <c r="C919" s="2" t="s">
        <v>14</v>
      </c>
      <c r="D919" s="2" t="s">
        <v>17</v>
      </c>
      <c r="E919" s="15">
        <v>748</v>
      </c>
      <c r="F919" s="2">
        <v>1</v>
      </c>
      <c r="G919" s="15">
        <f>SalesData!$E919*SalesData!$F919</f>
        <v>748</v>
      </c>
    </row>
    <row r="920" spans="1:7" x14ac:dyDescent="0.35">
      <c r="A920" s="16" t="s">
        <v>917</v>
      </c>
      <c r="B920" s="17">
        <v>45030</v>
      </c>
      <c r="C920" s="3" t="s">
        <v>14</v>
      </c>
      <c r="D920" s="3" t="s">
        <v>17</v>
      </c>
      <c r="E920" s="18">
        <v>33949</v>
      </c>
      <c r="F920" s="3">
        <v>9</v>
      </c>
      <c r="G920" s="18">
        <f>SalesData!$E920*SalesData!$F920</f>
        <v>305541</v>
      </c>
    </row>
    <row r="921" spans="1:7" x14ac:dyDescent="0.35">
      <c r="A921" s="13" t="s">
        <v>918</v>
      </c>
      <c r="B921" s="14">
        <v>45219</v>
      </c>
      <c r="C921" s="2" t="s">
        <v>16</v>
      </c>
      <c r="D921" s="2" t="s">
        <v>20</v>
      </c>
      <c r="E921" s="15">
        <v>17449</v>
      </c>
      <c r="F921" s="2">
        <v>7</v>
      </c>
      <c r="G921" s="15">
        <f>SalesData!$E921*SalesData!$F921</f>
        <v>122143</v>
      </c>
    </row>
    <row r="922" spans="1:7" x14ac:dyDescent="0.35">
      <c r="A922" s="16" t="s">
        <v>919</v>
      </c>
      <c r="B922" s="17">
        <v>45221</v>
      </c>
      <c r="C922" s="3" t="s">
        <v>16</v>
      </c>
      <c r="D922" s="3" t="s">
        <v>20</v>
      </c>
      <c r="E922" s="18">
        <v>14055</v>
      </c>
      <c r="F922" s="3">
        <v>4</v>
      </c>
      <c r="G922" s="18">
        <f>SalesData!$E922*SalesData!$F922</f>
        <v>56220</v>
      </c>
    </row>
    <row r="923" spans="1:7" x14ac:dyDescent="0.35">
      <c r="A923" s="13" t="s">
        <v>919</v>
      </c>
      <c r="B923" s="14">
        <v>45221</v>
      </c>
      <c r="C923" s="2" t="s">
        <v>16</v>
      </c>
      <c r="D923" s="2" t="s">
        <v>20</v>
      </c>
      <c r="E923" s="15">
        <v>14055</v>
      </c>
      <c r="F923" s="2">
        <v>4</v>
      </c>
      <c r="G923" s="15">
        <f>SalesData!$E923*SalesData!$F923</f>
        <v>56220</v>
      </c>
    </row>
    <row r="924" spans="1:7" x14ac:dyDescent="0.35">
      <c r="A924" s="16" t="s">
        <v>920</v>
      </c>
      <c r="B924" s="17">
        <v>45156</v>
      </c>
      <c r="C924" s="3" t="s">
        <v>14</v>
      </c>
      <c r="D924" s="3" t="s">
        <v>17</v>
      </c>
      <c r="E924" s="18">
        <v>12913</v>
      </c>
      <c r="F924" s="3">
        <v>10</v>
      </c>
      <c r="G924" s="18">
        <f>SalesData!$E924*SalesData!$F924</f>
        <v>129130</v>
      </c>
    </row>
    <row r="925" spans="1:7" x14ac:dyDescent="0.35">
      <c r="A925" s="13" t="s">
        <v>921</v>
      </c>
      <c r="B925" s="14">
        <v>45073</v>
      </c>
      <c r="C925" s="2" t="s">
        <v>89</v>
      </c>
      <c r="D925" s="2" t="s">
        <v>17</v>
      </c>
      <c r="E925" s="15">
        <v>36943</v>
      </c>
      <c r="F925" s="2">
        <v>1</v>
      </c>
      <c r="G925" s="15">
        <f>SalesData!$E925*SalesData!$F925</f>
        <v>36943</v>
      </c>
    </row>
    <row r="926" spans="1:7" x14ac:dyDescent="0.35">
      <c r="A926" s="16" t="s">
        <v>922</v>
      </c>
      <c r="B926" s="17">
        <v>45269</v>
      </c>
      <c r="C926" s="3" t="s">
        <v>14</v>
      </c>
      <c r="D926" s="3" t="s">
        <v>29</v>
      </c>
      <c r="E926" s="18">
        <v>15291</v>
      </c>
      <c r="F926" s="3">
        <v>1</v>
      </c>
      <c r="G926" s="18">
        <f>SalesData!$E926*SalesData!$F926</f>
        <v>15291</v>
      </c>
    </row>
    <row r="927" spans="1:7" x14ac:dyDescent="0.35">
      <c r="A927" s="13" t="s">
        <v>923</v>
      </c>
      <c r="B927" s="14">
        <v>44938</v>
      </c>
      <c r="C927" s="2" t="s">
        <v>14</v>
      </c>
      <c r="D927" s="2" t="s">
        <v>23</v>
      </c>
      <c r="E927" s="15">
        <v>38409</v>
      </c>
      <c r="F927" s="2">
        <v>7</v>
      </c>
      <c r="G927" s="15">
        <f>SalesData!$E927*SalesData!$F927</f>
        <v>268863</v>
      </c>
    </row>
    <row r="928" spans="1:7" x14ac:dyDescent="0.35">
      <c r="A928" s="16" t="s">
        <v>924</v>
      </c>
      <c r="B928" s="17">
        <v>45030</v>
      </c>
      <c r="C928" s="3" t="s">
        <v>16</v>
      </c>
      <c r="D928" s="3" t="s">
        <v>20</v>
      </c>
      <c r="E928" s="18">
        <v>28400</v>
      </c>
      <c r="F928" s="3">
        <v>8</v>
      </c>
      <c r="G928" s="18">
        <f>SalesData!$E928*SalesData!$F928</f>
        <v>227200</v>
      </c>
    </row>
    <row r="929" spans="1:7" x14ac:dyDescent="0.35">
      <c r="A929" s="13" t="s">
        <v>925</v>
      </c>
      <c r="B929" s="14">
        <v>44944</v>
      </c>
      <c r="C929" s="2" t="s">
        <v>31</v>
      </c>
      <c r="D929" s="2" t="s">
        <v>20</v>
      </c>
      <c r="E929" s="15">
        <v>15266</v>
      </c>
      <c r="F929" s="2">
        <v>4</v>
      </c>
      <c r="G929" s="15">
        <f>SalesData!$E929*SalesData!$F929</f>
        <v>61064</v>
      </c>
    </row>
    <row r="930" spans="1:7" x14ac:dyDescent="0.35">
      <c r="A930" s="16" t="s">
        <v>926</v>
      </c>
      <c r="B930" s="17">
        <v>45019</v>
      </c>
      <c r="C930" s="3" t="s">
        <v>89</v>
      </c>
      <c r="D930" s="3" t="s">
        <v>17</v>
      </c>
      <c r="E930" s="18">
        <v>21358</v>
      </c>
      <c r="F930" s="3">
        <v>1</v>
      </c>
      <c r="G930" s="18">
        <f>SalesData!$E930*SalesData!$F930</f>
        <v>21358</v>
      </c>
    </row>
    <row r="931" spans="1:7" x14ac:dyDescent="0.35">
      <c r="A931" s="13" t="s">
        <v>927</v>
      </c>
      <c r="B931" s="14">
        <v>45234</v>
      </c>
      <c r="C931" s="2" t="s">
        <v>89</v>
      </c>
      <c r="D931" s="2" t="s">
        <v>17</v>
      </c>
      <c r="E931" s="15">
        <v>43093</v>
      </c>
      <c r="F931" s="2">
        <v>2</v>
      </c>
      <c r="G931" s="15">
        <f>SalesData!$E931*SalesData!$F931</f>
        <v>86186</v>
      </c>
    </row>
    <row r="932" spans="1:7" x14ac:dyDescent="0.35">
      <c r="A932" s="16" t="s">
        <v>928</v>
      </c>
      <c r="B932" s="17">
        <v>45219</v>
      </c>
      <c r="C932" s="3" t="s">
        <v>31</v>
      </c>
      <c r="D932" s="3" t="s">
        <v>17</v>
      </c>
      <c r="E932" s="18">
        <v>12283</v>
      </c>
      <c r="F932" s="3">
        <v>9</v>
      </c>
      <c r="G932" s="18">
        <f>SalesData!$E932*SalesData!$F932</f>
        <v>110547</v>
      </c>
    </row>
    <row r="933" spans="1:7" x14ac:dyDescent="0.35">
      <c r="A933" s="13" t="s">
        <v>929</v>
      </c>
      <c r="B933" s="14">
        <v>45027</v>
      </c>
      <c r="C933" s="2" t="s">
        <v>89</v>
      </c>
      <c r="D933" s="2" t="s">
        <v>29</v>
      </c>
      <c r="E933" s="15">
        <v>3086</v>
      </c>
      <c r="F933" s="2">
        <v>10</v>
      </c>
      <c r="G933" s="15">
        <f>SalesData!$E933*SalesData!$F933</f>
        <v>30860</v>
      </c>
    </row>
    <row r="934" spans="1:7" x14ac:dyDescent="0.35">
      <c r="A934" s="16" t="s">
        <v>930</v>
      </c>
      <c r="B934" s="17">
        <v>45122</v>
      </c>
      <c r="C934" s="3" t="s">
        <v>31</v>
      </c>
      <c r="D934" s="3" t="s">
        <v>23</v>
      </c>
      <c r="E934" s="18">
        <v>8114</v>
      </c>
      <c r="F934" s="3">
        <v>9</v>
      </c>
      <c r="G934" s="18">
        <f>SalesData!$E934*SalesData!$F934</f>
        <v>73026</v>
      </c>
    </row>
    <row r="935" spans="1:7" x14ac:dyDescent="0.35">
      <c r="A935" s="13" t="s">
        <v>931</v>
      </c>
      <c r="B935" s="14">
        <v>45162</v>
      </c>
      <c r="C935" s="2" t="s">
        <v>31</v>
      </c>
      <c r="D935" s="2" t="s">
        <v>20</v>
      </c>
      <c r="E935" s="15">
        <v>45743</v>
      </c>
      <c r="F935" s="2">
        <v>2</v>
      </c>
      <c r="G935" s="15">
        <f>SalesData!$E935*SalesData!$F935</f>
        <v>91486</v>
      </c>
    </row>
    <row r="936" spans="1:7" x14ac:dyDescent="0.35">
      <c r="A936" s="16" t="s">
        <v>932</v>
      </c>
      <c r="B936" s="17">
        <v>44932</v>
      </c>
      <c r="C936" s="3" t="s">
        <v>14</v>
      </c>
      <c r="D936" s="3" t="s">
        <v>20</v>
      </c>
      <c r="E936" s="18">
        <v>19987</v>
      </c>
      <c r="F936" s="3">
        <v>6</v>
      </c>
      <c r="G936" s="18">
        <f>SalesData!$E936*SalesData!$F936</f>
        <v>119922</v>
      </c>
    </row>
    <row r="937" spans="1:7" x14ac:dyDescent="0.35">
      <c r="A937" s="13" t="s">
        <v>933</v>
      </c>
      <c r="B937" s="14">
        <v>45272</v>
      </c>
      <c r="C937" s="2" t="s">
        <v>31</v>
      </c>
      <c r="D937" s="2" t="s">
        <v>25</v>
      </c>
      <c r="E937" s="15">
        <v>2874</v>
      </c>
      <c r="F937" s="2">
        <v>10</v>
      </c>
      <c r="G937" s="15">
        <f>SalesData!$E937*SalesData!$F937</f>
        <v>28740</v>
      </c>
    </row>
    <row r="938" spans="1:7" x14ac:dyDescent="0.35">
      <c r="A938" s="16" t="s">
        <v>934</v>
      </c>
      <c r="B938" s="17">
        <v>45176</v>
      </c>
      <c r="C938" s="3" t="s">
        <v>16</v>
      </c>
      <c r="D938" s="3" t="s">
        <v>25</v>
      </c>
      <c r="E938" s="18">
        <v>41924</v>
      </c>
      <c r="F938" s="3">
        <v>9</v>
      </c>
      <c r="G938" s="18">
        <f>SalesData!$E938*SalesData!$F938</f>
        <v>377316</v>
      </c>
    </row>
    <row r="939" spans="1:7" x14ac:dyDescent="0.35">
      <c r="A939" s="16" t="s">
        <v>935</v>
      </c>
      <c r="B939" s="17">
        <v>44943</v>
      </c>
      <c r="C939" s="3" t="s">
        <v>16</v>
      </c>
      <c r="D939" s="3" t="s">
        <v>25</v>
      </c>
      <c r="E939" s="18">
        <v>18534</v>
      </c>
      <c r="F939" s="3">
        <v>8</v>
      </c>
      <c r="G939" s="18">
        <f>SalesData!$E939*SalesData!$F939</f>
        <v>148272</v>
      </c>
    </row>
    <row r="940" spans="1:7" x14ac:dyDescent="0.35">
      <c r="A940" s="13" t="s">
        <v>936</v>
      </c>
      <c r="B940" s="14">
        <v>45081</v>
      </c>
      <c r="C940" s="2" t="s">
        <v>14</v>
      </c>
      <c r="D940" s="2" t="s">
        <v>23</v>
      </c>
      <c r="E940" s="15">
        <v>23037</v>
      </c>
      <c r="F940" s="2">
        <v>1</v>
      </c>
      <c r="G940" s="15">
        <f>SalesData!$E940*SalesData!$F940</f>
        <v>23037</v>
      </c>
    </row>
    <row r="941" spans="1:7" x14ac:dyDescent="0.35">
      <c r="A941" s="16" t="s">
        <v>937</v>
      </c>
      <c r="B941" s="17">
        <v>44960</v>
      </c>
      <c r="C941" s="3" t="s">
        <v>16</v>
      </c>
      <c r="D941" s="3" t="s">
        <v>20</v>
      </c>
      <c r="E941" s="18">
        <v>26324</v>
      </c>
      <c r="F941" s="3">
        <v>6</v>
      </c>
      <c r="G941" s="18">
        <f>SalesData!$E941*SalesData!$F941</f>
        <v>157944</v>
      </c>
    </row>
    <row r="942" spans="1:7" x14ac:dyDescent="0.35">
      <c r="A942" s="13" t="s">
        <v>938</v>
      </c>
      <c r="B942" s="14">
        <v>45173</v>
      </c>
      <c r="C942" s="2" t="s">
        <v>31</v>
      </c>
      <c r="D942" s="2" t="s">
        <v>17</v>
      </c>
      <c r="E942" s="15">
        <v>27301</v>
      </c>
      <c r="F942" s="2">
        <v>4</v>
      </c>
      <c r="G942" s="15">
        <f>SalesData!$E942*SalesData!$F942</f>
        <v>109204</v>
      </c>
    </row>
    <row r="943" spans="1:7" x14ac:dyDescent="0.35">
      <c r="A943" s="16" t="s">
        <v>939</v>
      </c>
      <c r="B943" s="17">
        <v>45166</v>
      </c>
      <c r="C943" s="3" t="s">
        <v>31</v>
      </c>
      <c r="D943" s="3" t="s">
        <v>25</v>
      </c>
      <c r="E943" s="18">
        <v>44651</v>
      </c>
      <c r="F943" s="3">
        <v>3</v>
      </c>
      <c r="G943" s="18">
        <f>SalesData!$E943*SalesData!$F943</f>
        <v>133953</v>
      </c>
    </row>
    <row r="944" spans="1:7" x14ac:dyDescent="0.35">
      <c r="A944" s="13" t="s">
        <v>940</v>
      </c>
      <c r="B944" s="14">
        <v>45211</v>
      </c>
      <c r="C944" s="2" t="s">
        <v>89</v>
      </c>
      <c r="D944" s="2" t="s">
        <v>25</v>
      </c>
      <c r="E944" s="15">
        <v>34293</v>
      </c>
      <c r="F944" s="2">
        <v>8</v>
      </c>
      <c r="G944" s="15">
        <f>SalesData!$E944*SalesData!$F944</f>
        <v>274344</v>
      </c>
    </row>
    <row r="945" spans="1:7" x14ac:dyDescent="0.35">
      <c r="A945" s="16" t="s">
        <v>941</v>
      </c>
      <c r="B945" s="17">
        <v>45266</v>
      </c>
      <c r="C945" s="3" t="s">
        <v>89</v>
      </c>
      <c r="D945" s="3" t="s">
        <v>29</v>
      </c>
      <c r="E945" s="18">
        <v>32357</v>
      </c>
      <c r="F945" s="3">
        <v>7</v>
      </c>
      <c r="G945" s="18">
        <f>SalesData!$E945*SalesData!$F945</f>
        <v>226499</v>
      </c>
    </row>
    <row r="946" spans="1:7" x14ac:dyDescent="0.35">
      <c r="A946" s="13" t="s">
        <v>942</v>
      </c>
      <c r="B946" s="14">
        <v>45110</v>
      </c>
      <c r="C946" s="2" t="s">
        <v>31</v>
      </c>
      <c r="D946" s="2" t="s">
        <v>29</v>
      </c>
      <c r="E946" s="15">
        <v>17646</v>
      </c>
      <c r="F946" s="2">
        <v>5</v>
      </c>
      <c r="G946" s="15">
        <f>SalesData!$E946*SalesData!$F946</f>
        <v>88230</v>
      </c>
    </row>
    <row r="947" spans="1:7" x14ac:dyDescent="0.35">
      <c r="A947" s="16" t="s">
        <v>943</v>
      </c>
      <c r="B947" s="17">
        <v>45065</v>
      </c>
      <c r="C947" s="3" t="s">
        <v>89</v>
      </c>
      <c r="D947" s="3" t="s">
        <v>25</v>
      </c>
      <c r="E947" s="18">
        <v>37796</v>
      </c>
      <c r="F947" s="3">
        <v>5</v>
      </c>
      <c r="G947" s="18">
        <f>SalesData!$E947*SalesData!$F947</f>
        <v>188980</v>
      </c>
    </row>
    <row r="948" spans="1:7" x14ac:dyDescent="0.35">
      <c r="A948" s="13" t="s">
        <v>944</v>
      </c>
      <c r="B948" s="14">
        <v>45206</v>
      </c>
      <c r="C948" s="2" t="s">
        <v>14</v>
      </c>
      <c r="D948" s="2" t="s">
        <v>23</v>
      </c>
      <c r="E948" s="15">
        <v>44767</v>
      </c>
      <c r="F948" s="2">
        <v>5</v>
      </c>
      <c r="G948" s="15">
        <f>SalesData!$E948*SalesData!$F948</f>
        <v>223835</v>
      </c>
    </row>
    <row r="949" spans="1:7" x14ac:dyDescent="0.35">
      <c r="A949" s="13" t="s">
        <v>945</v>
      </c>
      <c r="B949" s="14">
        <v>45250</v>
      </c>
      <c r="C949" s="2" t="s">
        <v>16</v>
      </c>
      <c r="D949" s="2" t="s">
        <v>25</v>
      </c>
      <c r="E949" s="15">
        <v>29883</v>
      </c>
      <c r="F949" s="2">
        <v>8</v>
      </c>
      <c r="G949" s="15">
        <f>SalesData!$E949*SalesData!$F949</f>
        <v>239064</v>
      </c>
    </row>
    <row r="950" spans="1:7" x14ac:dyDescent="0.35">
      <c r="A950" s="16" t="s">
        <v>946</v>
      </c>
      <c r="B950" s="17">
        <v>45225</v>
      </c>
      <c r="C950" s="3" t="s">
        <v>16</v>
      </c>
      <c r="D950" s="3" t="s">
        <v>20</v>
      </c>
      <c r="E950" s="18">
        <v>42542</v>
      </c>
      <c r="F950" s="3">
        <v>5</v>
      </c>
      <c r="G950" s="18">
        <f>SalesData!$E950*SalesData!$F950</f>
        <v>212710</v>
      </c>
    </row>
    <row r="951" spans="1:7" x14ac:dyDescent="0.35">
      <c r="A951" s="13" t="s">
        <v>947</v>
      </c>
      <c r="B951" s="14">
        <v>45053</v>
      </c>
      <c r="C951" s="2" t="s">
        <v>14</v>
      </c>
      <c r="D951" s="2" t="s">
        <v>17</v>
      </c>
      <c r="E951" s="15">
        <v>23165</v>
      </c>
      <c r="F951" s="2">
        <v>2</v>
      </c>
      <c r="G951" s="15">
        <f>SalesData!$E951*SalesData!$F951</f>
        <v>46330</v>
      </c>
    </row>
    <row r="952" spans="1:7" x14ac:dyDescent="0.35">
      <c r="A952" s="16" t="s">
        <v>948</v>
      </c>
      <c r="B952" s="17">
        <v>45079</v>
      </c>
      <c r="C952" s="3" t="s">
        <v>31</v>
      </c>
      <c r="D952" s="3" t="s">
        <v>25</v>
      </c>
      <c r="E952" s="18">
        <v>18021</v>
      </c>
      <c r="F952" s="3">
        <v>9</v>
      </c>
      <c r="G952" s="18">
        <f>SalesData!$E952*SalesData!$F952</f>
        <v>162189</v>
      </c>
    </row>
    <row r="953" spans="1:7" x14ac:dyDescent="0.35">
      <c r="A953" s="13" t="s">
        <v>949</v>
      </c>
      <c r="B953" s="14">
        <v>45178</v>
      </c>
      <c r="C953" s="2" t="s">
        <v>14</v>
      </c>
      <c r="D953" s="2" t="s">
        <v>17</v>
      </c>
      <c r="E953" s="15">
        <v>34982</v>
      </c>
      <c r="F953" s="2">
        <v>5</v>
      </c>
      <c r="G953" s="15">
        <f>SalesData!$E953*SalesData!$F953</f>
        <v>174910</v>
      </c>
    </row>
    <row r="954" spans="1:7" x14ac:dyDescent="0.35">
      <c r="A954" s="16" t="s">
        <v>950</v>
      </c>
      <c r="B954" s="17">
        <v>45198</v>
      </c>
      <c r="C954" s="3" t="s">
        <v>16</v>
      </c>
      <c r="D954" s="3" t="s">
        <v>17</v>
      </c>
      <c r="E954" s="18">
        <v>16841</v>
      </c>
      <c r="F954" s="3">
        <v>10</v>
      </c>
      <c r="G954" s="18">
        <f>SalesData!$E954*SalesData!$F954</f>
        <v>168410</v>
      </c>
    </row>
    <row r="955" spans="1:7" x14ac:dyDescent="0.35">
      <c r="A955" s="13" t="s">
        <v>951</v>
      </c>
      <c r="B955" s="14">
        <v>45178</v>
      </c>
      <c r="C955" s="2" t="s">
        <v>16</v>
      </c>
      <c r="D955" s="2" t="s">
        <v>23</v>
      </c>
      <c r="E955" s="15">
        <v>3608</v>
      </c>
      <c r="F955" s="2">
        <v>9</v>
      </c>
      <c r="G955" s="15">
        <f>SalesData!$E955*SalesData!$F955</f>
        <v>32472</v>
      </c>
    </row>
    <row r="956" spans="1:7" x14ac:dyDescent="0.35">
      <c r="A956" s="16" t="s">
        <v>952</v>
      </c>
      <c r="B956" s="17">
        <v>44956</v>
      </c>
      <c r="C956" s="3" t="s">
        <v>14</v>
      </c>
      <c r="D956" s="3" t="s">
        <v>25</v>
      </c>
      <c r="E956" s="18">
        <v>4302</v>
      </c>
      <c r="F956" s="3">
        <v>9</v>
      </c>
      <c r="G956" s="18">
        <f>SalesData!$E956*SalesData!$F956</f>
        <v>38718</v>
      </c>
    </row>
    <row r="957" spans="1:7" x14ac:dyDescent="0.35">
      <c r="A957" s="16" t="s">
        <v>953</v>
      </c>
      <c r="B957" s="17">
        <v>45048</v>
      </c>
      <c r="C957" s="3" t="s">
        <v>14</v>
      </c>
      <c r="D957" s="3" t="s">
        <v>20</v>
      </c>
      <c r="E957" s="18">
        <v>29943</v>
      </c>
      <c r="F957" s="3">
        <v>1</v>
      </c>
      <c r="G957" s="18">
        <f>SalesData!$E957*SalesData!$F957</f>
        <v>29943</v>
      </c>
    </row>
    <row r="958" spans="1:7" x14ac:dyDescent="0.35">
      <c r="A958" s="13" t="s">
        <v>954</v>
      </c>
      <c r="B958" s="14">
        <v>44928</v>
      </c>
      <c r="C958" s="2" t="s">
        <v>89</v>
      </c>
      <c r="D958" s="2" t="s">
        <v>25</v>
      </c>
      <c r="E958" s="15">
        <v>17344</v>
      </c>
      <c r="F958" s="2">
        <v>2</v>
      </c>
      <c r="G958" s="15">
        <f>SalesData!$E958*SalesData!$F958</f>
        <v>34688</v>
      </c>
    </row>
    <row r="959" spans="1:7" x14ac:dyDescent="0.35">
      <c r="A959" s="13" t="s">
        <v>955</v>
      </c>
      <c r="B959" s="14">
        <v>45200</v>
      </c>
      <c r="C959" s="2" t="s">
        <v>89</v>
      </c>
      <c r="D959" s="2" t="s">
        <v>23</v>
      </c>
      <c r="E959" s="15">
        <v>47052</v>
      </c>
      <c r="F959" s="2">
        <v>10</v>
      </c>
      <c r="G959" s="15">
        <f>SalesData!$E959*SalesData!$F959</f>
        <v>470520</v>
      </c>
    </row>
    <row r="960" spans="1:7" x14ac:dyDescent="0.35">
      <c r="A960" s="16" t="s">
        <v>956</v>
      </c>
      <c r="B960" s="17">
        <v>45130</v>
      </c>
      <c r="C960" s="3" t="s">
        <v>14</v>
      </c>
      <c r="D960" s="3" t="s">
        <v>29</v>
      </c>
      <c r="E960" s="18">
        <v>46689</v>
      </c>
      <c r="F960" s="3">
        <v>2</v>
      </c>
      <c r="G960" s="18">
        <f>SalesData!$E960*SalesData!$F960</f>
        <v>93378</v>
      </c>
    </row>
    <row r="961" spans="1:7" x14ac:dyDescent="0.35">
      <c r="A961" s="13" t="s">
        <v>957</v>
      </c>
      <c r="B961" s="14">
        <v>45011</v>
      </c>
      <c r="C961" s="2" t="s">
        <v>89</v>
      </c>
      <c r="D961" s="2" t="s">
        <v>17</v>
      </c>
      <c r="E961" s="15">
        <v>9667</v>
      </c>
      <c r="F961" s="2">
        <v>1</v>
      </c>
      <c r="G961" s="15">
        <f>SalesData!$E961*SalesData!$F961</f>
        <v>9667</v>
      </c>
    </row>
    <row r="962" spans="1:7" x14ac:dyDescent="0.35">
      <c r="A962" s="16" t="s">
        <v>958</v>
      </c>
      <c r="B962" s="17">
        <v>45193</v>
      </c>
      <c r="C962" s="3" t="s">
        <v>16</v>
      </c>
      <c r="D962" s="3" t="s">
        <v>25</v>
      </c>
      <c r="E962" s="18">
        <v>6377</v>
      </c>
      <c r="F962" s="3">
        <v>5</v>
      </c>
      <c r="G962" s="18">
        <f>SalesData!$E962*SalesData!$F962</f>
        <v>31885</v>
      </c>
    </row>
    <row r="963" spans="1:7" x14ac:dyDescent="0.35">
      <c r="A963" s="16" t="s">
        <v>959</v>
      </c>
      <c r="B963" s="17">
        <v>45206</v>
      </c>
      <c r="C963" s="3" t="s">
        <v>14</v>
      </c>
      <c r="D963" s="3" t="s">
        <v>29</v>
      </c>
      <c r="E963" s="18">
        <v>33570</v>
      </c>
      <c r="F963" s="3">
        <v>10</v>
      </c>
      <c r="G963" s="18">
        <f>SalesData!$E963*SalesData!$F963</f>
        <v>335700</v>
      </c>
    </row>
    <row r="964" spans="1:7" x14ac:dyDescent="0.35">
      <c r="A964" s="13" t="s">
        <v>960</v>
      </c>
      <c r="B964" s="14">
        <v>45224</v>
      </c>
      <c r="C964" s="2" t="s">
        <v>89</v>
      </c>
      <c r="D964" s="2" t="s">
        <v>23</v>
      </c>
      <c r="E964" s="15">
        <v>41394</v>
      </c>
      <c r="F964" s="2">
        <v>7</v>
      </c>
      <c r="G964" s="15">
        <f>SalesData!$E964*SalesData!$F964</f>
        <v>289758</v>
      </c>
    </row>
    <row r="965" spans="1:7" x14ac:dyDescent="0.35">
      <c r="A965" s="16" t="s">
        <v>961</v>
      </c>
      <c r="B965" s="17">
        <v>45155</v>
      </c>
      <c r="C965" s="3" t="s">
        <v>89</v>
      </c>
      <c r="D965" s="3" t="s">
        <v>29</v>
      </c>
      <c r="E965" s="18">
        <v>11926</v>
      </c>
      <c r="F965" s="3">
        <v>1</v>
      </c>
      <c r="G965" s="18">
        <f>SalesData!$E965*SalesData!$F965</f>
        <v>11926</v>
      </c>
    </row>
    <row r="966" spans="1:7" x14ac:dyDescent="0.35">
      <c r="A966" s="13" t="s">
        <v>962</v>
      </c>
      <c r="B966" s="14">
        <v>45251</v>
      </c>
      <c r="C966" s="2" t="s">
        <v>31</v>
      </c>
      <c r="D966" s="2" t="s">
        <v>25</v>
      </c>
      <c r="E966" s="15">
        <v>5734</v>
      </c>
      <c r="F966" s="2">
        <v>2</v>
      </c>
      <c r="G966" s="15">
        <f>SalesData!$E966*SalesData!$F966</f>
        <v>11468</v>
      </c>
    </row>
    <row r="967" spans="1:7" x14ac:dyDescent="0.35">
      <c r="A967" s="16" t="s">
        <v>963</v>
      </c>
      <c r="B967" s="17">
        <v>45054</v>
      </c>
      <c r="C967" s="3" t="s">
        <v>16</v>
      </c>
      <c r="D967" s="3" t="s">
        <v>29</v>
      </c>
      <c r="E967" s="18">
        <v>16661</v>
      </c>
      <c r="F967" s="3">
        <v>2</v>
      </c>
      <c r="G967" s="18">
        <f>SalesData!$E967*SalesData!$F967</f>
        <v>33322</v>
      </c>
    </row>
    <row r="968" spans="1:7" x14ac:dyDescent="0.35">
      <c r="A968" s="16" t="s">
        <v>964</v>
      </c>
      <c r="B968" s="17">
        <v>45072</v>
      </c>
      <c r="C968" s="3" t="s">
        <v>16</v>
      </c>
      <c r="D968" s="3" t="s">
        <v>20</v>
      </c>
      <c r="E968" s="18">
        <v>9664</v>
      </c>
      <c r="F968" s="3">
        <v>10</v>
      </c>
      <c r="G968" s="18">
        <f>SalesData!$E968*SalesData!$F968</f>
        <v>96640</v>
      </c>
    </row>
    <row r="969" spans="1:7" x14ac:dyDescent="0.35">
      <c r="A969" s="13" t="s">
        <v>965</v>
      </c>
      <c r="B969" s="14">
        <v>45061</v>
      </c>
      <c r="C969" s="2" t="s">
        <v>16</v>
      </c>
      <c r="D969" s="2" t="s">
        <v>23</v>
      </c>
      <c r="E969" s="15">
        <v>38528</v>
      </c>
      <c r="F969" s="2">
        <v>8</v>
      </c>
      <c r="G969" s="15">
        <f>SalesData!$E969*SalesData!$F969</f>
        <v>308224</v>
      </c>
    </row>
    <row r="970" spans="1:7" x14ac:dyDescent="0.35">
      <c r="A970" s="16" t="s">
        <v>966</v>
      </c>
      <c r="B970" s="17">
        <v>45267</v>
      </c>
      <c r="C970" s="3" t="s">
        <v>31</v>
      </c>
      <c r="D970" s="3" t="s">
        <v>25</v>
      </c>
      <c r="E970" s="18">
        <v>36719</v>
      </c>
      <c r="F970" s="3">
        <v>7</v>
      </c>
      <c r="G970" s="18">
        <f>SalesData!$E970*SalesData!$F970</f>
        <v>257033</v>
      </c>
    </row>
    <row r="971" spans="1:7" x14ac:dyDescent="0.35">
      <c r="A971" s="13" t="s">
        <v>967</v>
      </c>
      <c r="B971" s="14">
        <v>45276</v>
      </c>
      <c r="C971" s="2" t="s">
        <v>14</v>
      </c>
      <c r="D971" s="2" t="s">
        <v>25</v>
      </c>
      <c r="E971" s="15">
        <v>29629</v>
      </c>
      <c r="F971" s="2">
        <v>8</v>
      </c>
      <c r="G971" s="15">
        <f>SalesData!$E971*SalesData!$F971</f>
        <v>237032</v>
      </c>
    </row>
    <row r="972" spans="1:7" x14ac:dyDescent="0.35">
      <c r="A972" s="16" t="s">
        <v>968</v>
      </c>
      <c r="B972" s="17">
        <v>45064</v>
      </c>
      <c r="C972" s="3" t="s">
        <v>14</v>
      </c>
      <c r="D972" s="3" t="s">
        <v>25</v>
      </c>
      <c r="E972" s="18">
        <v>43929</v>
      </c>
      <c r="F972" s="3">
        <v>4</v>
      </c>
      <c r="G972" s="18">
        <f>SalesData!$E972*SalesData!$F972</f>
        <v>175716</v>
      </c>
    </row>
    <row r="973" spans="1:7" x14ac:dyDescent="0.35">
      <c r="A973" s="13" t="s">
        <v>969</v>
      </c>
      <c r="B973" s="14">
        <v>45082</v>
      </c>
      <c r="C973" s="2" t="s">
        <v>31</v>
      </c>
      <c r="D973" s="2" t="s">
        <v>29</v>
      </c>
      <c r="E973" s="15">
        <v>25832</v>
      </c>
      <c r="F973" s="2">
        <v>8</v>
      </c>
      <c r="G973" s="15">
        <f>SalesData!$E973*SalesData!$F973</f>
        <v>206656</v>
      </c>
    </row>
    <row r="974" spans="1:7" x14ac:dyDescent="0.35">
      <c r="A974" s="16" t="s">
        <v>970</v>
      </c>
      <c r="B974" s="17">
        <v>45153</v>
      </c>
      <c r="C974" s="3" t="s">
        <v>31</v>
      </c>
      <c r="D974" s="3" t="s">
        <v>29</v>
      </c>
      <c r="E974" s="18">
        <v>32766</v>
      </c>
      <c r="F974" s="3">
        <v>10</v>
      </c>
      <c r="G974" s="18">
        <f>SalesData!$E974*SalesData!$F974</f>
        <v>327660</v>
      </c>
    </row>
    <row r="975" spans="1:7" x14ac:dyDescent="0.35">
      <c r="A975" s="13" t="s">
        <v>971</v>
      </c>
      <c r="B975" s="14">
        <v>45047</v>
      </c>
      <c r="C975" s="2" t="s">
        <v>16</v>
      </c>
      <c r="D975" s="2" t="s">
        <v>23</v>
      </c>
      <c r="E975" s="15">
        <v>27578</v>
      </c>
      <c r="F975" s="2">
        <v>7</v>
      </c>
      <c r="G975" s="15">
        <f>SalesData!$E975*SalesData!$F975</f>
        <v>193046</v>
      </c>
    </row>
    <row r="976" spans="1:7" x14ac:dyDescent="0.35">
      <c r="A976" s="16" t="s">
        <v>972</v>
      </c>
      <c r="B976" s="17">
        <v>44974</v>
      </c>
      <c r="C976" s="3" t="s">
        <v>16</v>
      </c>
      <c r="D976" s="3" t="s">
        <v>25</v>
      </c>
      <c r="E976" s="18">
        <v>11062</v>
      </c>
      <c r="F976" s="3">
        <v>8</v>
      </c>
      <c r="G976" s="18">
        <f>SalesData!$E976*SalesData!$F976</f>
        <v>88496</v>
      </c>
    </row>
    <row r="977" spans="1:7" x14ac:dyDescent="0.35">
      <c r="A977" s="13" t="s">
        <v>973</v>
      </c>
      <c r="B977" s="14">
        <v>45146</v>
      </c>
      <c r="C977" s="2" t="s">
        <v>89</v>
      </c>
      <c r="D977" s="2" t="s">
        <v>17</v>
      </c>
      <c r="E977" s="15">
        <v>18114</v>
      </c>
      <c r="F977" s="2">
        <v>2</v>
      </c>
      <c r="G977" s="15">
        <f>SalesData!$E977*SalesData!$F977</f>
        <v>36228</v>
      </c>
    </row>
    <row r="978" spans="1:7" x14ac:dyDescent="0.35">
      <c r="A978" s="16" t="s">
        <v>974</v>
      </c>
      <c r="B978" s="17">
        <v>44978</v>
      </c>
      <c r="C978" s="3" t="s">
        <v>89</v>
      </c>
      <c r="D978" s="3" t="s">
        <v>20</v>
      </c>
      <c r="E978" s="18">
        <v>44443</v>
      </c>
      <c r="F978" s="3">
        <v>2</v>
      </c>
      <c r="G978" s="18">
        <f>SalesData!$E978*SalesData!$F978</f>
        <v>88886</v>
      </c>
    </row>
    <row r="979" spans="1:7" x14ac:dyDescent="0.35">
      <c r="A979" s="13" t="s">
        <v>975</v>
      </c>
      <c r="B979" s="14">
        <v>44929</v>
      </c>
      <c r="C979" s="2" t="s">
        <v>16</v>
      </c>
      <c r="D979" s="2" t="s">
        <v>25</v>
      </c>
      <c r="E979" s="15">
        <v>27815</v>
      </c>
      <c r="F979" s="2">
        <v>9</v>
      </c>
      <c r="G979" s="15">
        <f>SalesData!$E979*SalesData!$F979</f>
        <v>250335</v>
      </c>
    </row>
    <row r="980" spans="1:7" x14ac:dyDescent="0.35">
      <c r="A980" s="16" t="s">
        <v>976</v>
      </c>
      <c r="B980" s="17">
        <v>45264</v>
      </c>
      <c r="C980" s="3" t="s">
        <v>16</v>
      </c>
      <c r="D980" s="3" t="s">
        <v>25</v>
      </c>
      <c r="E980" s="18">
        <v>38974</v>
      </c>
      <c r="F980" s="3">
        <v>7</v>
      </c>
      <c r="G980" s="18">
        <f>SalesData!$E980*SalesData!$F980</f>
        <v>272818</v>
      </c>
    </row>
    <row r="981" spans="1:7" x14ac:dyDescent="0.35">
      <c r="A981" s="13" t="s">
        <v>977</v>
      </c>
      <c r="B981" s="14">
        <v>45058</v>
      </c>
      <c r="C981" s="2" t="s">
        <v>14</v>
      </c>
      <c r="D981" s="2" t="s">
        <v>20</v>
      </c>
      <c r="E981" s="15">
        <v>6935</v>
      </c>
      <c r="F981" s="2">
        <v>2</v>
      </c>
      <c r="G981" s="15">
        <f>SalesData!$E981*SalesData!$F981</f>
        <v>13870</v>
      </c>
    </row>
    <row r="982" spans="1:7" x14ac:dyDescent="0.35">
      <c r="A982" s="13" t="s">
        <v>978</v>
      </c>
      <c r="B982" s="14">
        <v>44986</v>
      </c>
      <c r="C982" s="2" t="s">
        <v>14</v>
      </c>
      <c r="D982" s="2" t="s">
        <v>25</v>
      </c>
      <c r="E982" s="15">
        <v>19841</v>
      </c>
      <c r="F982" s="2">
        <v>4</v>
      </c>
      <c r="G982" s="15">
        <f>SalesData!$E982*SalesData!$F982</f>
        <v>79364</v>
      </c>
    </row>
    <row r="983" spans="1:7" x14ac:dyDescent="0.35">
      <c r="A983" s="16" t="s">
        <v>979</v>
      </c>
      <c r="B983" s="17">
        <v>45097</v>
      </c>
      <c r="C983" s="3" t="s">
        <v>31</v>
      </c>
      <c r="D983" s="3" t="s">
        <v>25</v>
      </c>
      <c r="E983" s="18">
        <v>43576</v>
      </c>
      <c r="F983" s="3">
        <v>10</v>
      </c>
      <c r="G983" s="18">
        <f>E983*F983</f>
        <v>435760</v>
      </c>
    </row>
    <row r="984" spans="1:7" x14ac:dyDescent="0.35">
      <c r="B984"/>
      <c r="D984" t="s">
        <v>980</v>
      </c>
      <c r="E984"/>
    </row>
    <row r="985" spans="1:7" x14ac:dyDescent="0.35">
      <c r="B985"/>
      <c r="D985" t="s">
        <v>980</v>
      </c>
      <c r="E985"/>
    </row>
    <row r="986" spans="1:7" x14ac:dyDescent="0.35">
      <c r="B986"/>
      <c r="D986" t="s">
        <v>980</v>
      </c>
      <c r="E986"/>
    </row>
    <row r="987" spans="1:7" x14ac:dyDescent="0.35">
      <c r="B987"/>
      <c r="D987" t="s">
        <v>980</v>
      </c>
      <c r="E987"/>
    </row>
    <row r="988" spans="1:7" x14ac:dyDescent="0.35">
      <c r="B988"/>
      <c r="D988" t="s">
        <v>980</v>
      </c>
      <c r="E988"/>
    </row>
    <row r="989" spans="1:7" x14ac:dyDescent="0.35">
      <c r="B989"/>
      <c r="D989" t="s">
        <v>980</v>
      </c>
      <c r="E989"/>
    </row>
    <row r="990" spans="1:7" x14ac:dyDescent="0.35">
      <c r="B990"/>
      <c r="D990" t="s">
        <v>980</v>
      </c>
      <c r="E990"/>
    </row>
    <row r="991" spans="1:7" x14ac:dyDescent="0.35">
      <c r="B991"/>
      <c r="D991" t="s">
        <v>980</v>
      </c>
      <c r="E991"/>
    </row>
    <row r="992" spans="1:7" x14ac:dyDescent="0.35">
      <c r="B992"/>
      <c r="D992" t="s">
        <v>980</v>
      </c>
      <c r="E992"/>
    </row>
    <row r="993" spans="2:5" x14ac:dyDescent="0.35">
      <c r="B993"/>
      <c r="D993" t="s">
        <v>980</v>
      </c>
      <c r="E993"/>
    </row>
    <row r="994" spans="2:5" x14ac:dyDescent="0.35">
      <c r="B994"/>
      <c r="D994" t="s">
        <v>980</v>
      </c>
      <c r="E994"/>
    </row>
    <row r="995" spans="2:5" x14ac:dyDescent="0.35">
      <c r="B995"/>
      <c r="D995" t="s">
        <v>980</v>
      </c>
      <c r="E995"/>
    </row>
    <row r="996" spans="2:5" x14ac:dyDescent="0.35">
      <c r="B996"/>
      <c r="D996" t="s">
        <v>980</v>
      </c>
      <c r="E996"/>
    </row>
    <row r="997" spans="2:5" x14ac:dyDescent="0.35">
      <c r="B997"/>
      <c r="D997" t="s">
        <v>980</v>
      </c>
      <c r="E997"/>
    </row>
    <row r="998" spans="2:5" x14ac:dyDescent="0.35">
      <c r="B998"/>
      <c r="D998" t="s">
        <v>980</v>
      </c>
      <c r="E998"/>
    </row>
    <row r="999" spans="2:5" x14ac:dyDescent="0.35">
      <c r="B999"/>
      <c r="D999" t="s">
        <v>980</v>
      </c>
      <c r="E999"/>
    </row>
    <row r="1000" spans="2:5" x14ac:dyDescent="0.35">
      <c r="B1000"/>
      <c r="D1000" t="s">
        <v>980</v>
      </c>
      <c r="E1000"/>
    </row>
    <row r="1001" spans="2:5" x14ac:dyDescent="0.35">
      <c r="B1001"/>
      <c r="D1001" t="s">
        <v>980</v>
      </c>
      <c r="E1001"/>
    </row>
    <row r="1002" spans="2:5" x14ac:dyDescent="0.35">
      <c r="B1002"/>
      <c r="D1002" t="s">
        <v>980</v>
      </c>
      <c r="E1002"/>
    </row>
    <row r="1003" spans="2:5" x14ac:dyDescent="0.35">
      <c r="B1003"/>
      <c r="D1003" t="s">
        <v>980</v>
      </c>
      <c r="E1003"/>
    </row>
    <row r="1004" spans="2:5" x14ac:dyDescent="0.35">
      <c r="B1004"/>
      <c r="D1004" t="s">
        <v>980</v>
      </c>
      <c r="E1004"/>
    </row>
    <row r="1005" spans="2:5" x14ac:dyDescent="0.35">
      <c r="B1005"/>
      <c r="D1005" t="s">
        <v>980</v>
      </c>
      <c r="E1005"/>
    </row>
    <row r="1006" spans="2:5" x14ac:dyDescent="0.35">
      <c r="B1006"/>
      <c r="D1006" t="s">
        <v>980</v>
      </c>
      <c r="E1006"/>
    </row>
    <row r="1007" spans="2:5" x14ac:dyDescent="0.35">
      <c r="B1007"/>
      <c r="D1007" t="s">
        <v>980</v>
      </c>
      <c r="E1007"/>
    </row>
    <row r="1008" spans="2:5" x14ac:dyDescent="0.35">
      <c r="B1008"/>
      <c r="D1008" t="s">
        <v>980</v>
      </c>
      <c r="E1008"/>
    </row>
    <row r="1009" spans="2:5" x14ac:dyDescent="0.35">
      <c r="B1009"/>
      <c r="D1009" t="s">
        <v>980</v>
      </c>
      <c r="E1009"/>
    </row>
    <row r="1010" spans="2:5" x14ac:dyDescent="0.35">
      <c r="B1010"/>
      <c r="D1010" t="s">
        <v>980</v>
      </c>
      <c r="E1010"/>
    </row>
    <row r="1011" spans="2:5" x14ac:dyDescent="0.35">
      <c r="B1011"/>
      <c r="D1011" t="s">
        <v>980</v>
      </c>
      <c r="E1011"/>
    </row>
    <row r="1012" spans="2:5" x14ac:dyDescent="0.35">
      <c r="B1012"/>
      <c r="D1012" t="s">
        <v>980</v>
      </c>
      <c r="E1012"/>
    </row>
    <row r="1013" spans="2:5" x14ac:dyDescent="0.35">
      <c r="B1013"/>
      <c r="D1013" t="s">
        <v>980</v>
      </c>
      <c r="E1013"/>
    </row>
    <row r="1014" spans="2:5" x14ac:dyDescent="0.35">
      <c r="B1014"/>
      <c r="D1014" t="s">
        <v>980</v>
      </c>
      <c r="E1014"/>
    </row>
    <row r="1015" spans="2:5" x14ac:dyDescent="0.35">
      <c r="B1015"/>
      <c r="D1015" t="s">
        <v>980</v>
      </c>
      <c r="E1015"/>
    </row>
    <row r="1016" spans="2:5" x14ac:dyDescent="0.35">
      <c r="B1016"/>
      <c r="D1016" t="s">
        <v>980</v>
      </c>
      <c r="E1016"/>
    </row>
    <row r="1017" spans="2:5" x14ac:dyDescent="0.35">
      <c r="B1017"/>
      <c r="D1017" t="s">
        <v>980</v>
      </c>
      <c r="E1017"/>
    </row>
    <row r="1018" spans="2:5" x14ac:dyDescent="0.35">
      <c r="B1018"/>
      <c r="D1018" t="s">
        <v>980</v>
      </c>
      <c r="E1018"/>
    </row>
    <row r="1019" spans="2:5" x14ac:dyDescent="0.35">
      <c r="B1019"/>
      <c r="D1019" t="s">
        <v>980</v>
      </c>
      <c r="E1019"/>
    </row>
    <row r="1020" spans="2:5" x14ac:dyDescent="0.35">
      <c r="B1020"/>
      <c r="D1020" t="s">
        <v>980</v>
      </c>
      <c r="E1020"/>
    </row>
    <row r="1021" spans="2:5" x14ac:dyDescent="0.35">
      <c r="B1021"/>
      <c r="D1021" t="s">
        <v>980</v>
      </c>
      <c r="E1021"/>
    </row>
    <row r="1022" spans="2:5" x14ac:dyDescent="0.35">
      <c r="B1022"/>
      <c r="D1022" t="s">
        <v>980</v>
      </c>
      <c r="E1022"/>
    </row>
    <row r="1023" spans="2:5" x14ac:dyDescent="0.35">
      <c r="B1023"/>
      <c r="D1023" t="s">
        <v>980</v>
      </c>
      <c r="E1023"/>
    </row>
    <row r="1024" spans="2:5" x14ac:dyDescent="0.35">
      <c r="B1024"/>
      <c r="D1024" t="s">
        <v>980</v>
      </c>
      <c r="E1024"/>
    </row>
    <row r="1025" spans="2:5" x14ac:dyDescent="0.35">
      <c r="B1025"/>
      <c r="D1025" t="s">
        <v>980</v>
      </c>
      <c r="E1025"/>
    </row>
    <row r="1026" spans="2:5" x14ac:dyDescent="0.35">
      <c r="B1026"/>
      <c r="D1026" t="s">
        <v>980</v>
      </c>
      <c r="E1026"/>
    </row>
    <row r="1027" spans="2:5" x14ac:dyDescent="0.35">
      <c r="B1027"/>
      <c r="D1027" t="s">
        <v>980</v>
      </c>
      <c r="E1027"/>
    </row>
    <row r="1028" spans="2:5" x14ac:dyDescent="0.35">
      <c r="B1028"/>
      <c r="D1028" t="s">
        <v>980</v>
      </c>
      <c r="E1028"/>
    </row>
    <row r="1029" spans="2:5" x14ac:dyDescent="0.35">
      <c r="B1029"/>
      <c r="D1029" t="s">
        <v>980</v>
      </c>
      <c r="E1029"/>
    </row>
    <row r="1030" spans="2:5" x14ac:dyDescent="0.35">
      <c r="B1030"/>
      <c r="D1030" t="s">
        <v>980</v>
      </c>
      <c r="E1030"/>
    </row>
    <row r="1031" spans="2:5" x14ac:dyDescent="0.35">
      <c r="B1031"/>
      <c r="D1031" t="s">
        <v>980</v>
      </c>
      <c r="E1031"/>
    </row>
    <row r="1032" spans="2:5" x14ac:dyDescent="0.35">
      <c r="B1032"/>
      <c r="D1032" t="s">
        <v>980</v>
      </c>
      <c r="E1032"/>
    </row>
    <row r="1033" spans="2:5" x14ac:dyDescent="0.35">
      <c r="B1033"/>
      <c r="D1033" t="s">
        <v>980</v>
      </c>
      <c r="E1033"/>
    </row>
    <row r="1034" spans="2:5" x14ac:dyDescent="0.35">
      <c r="B1034"/>
      <c r="D1034" t="s">
        <v>980</v>
      </c>
      <c r="E1034"/>
    </row>
    <row r="1035" spans="2:5" x14ac:dyDescent="0.35">
      <c r="B1035"/>
      <c r="D1035" t="s">
        <v>980</v>
      </c>
      <c r="E1035"/>
    </row>
    <row r="1036" spans="2:5" x14ac:dyDescent="0.35">
      <c r="B1036"/>
      <c r="D1036" t="s">
        <v>980</v>
      </c>
      <c r="E1036"/>
    </row>
    <row r="1037" spans="2:5" x14ac:dyDescent="0.35">
      <c r="B1037"/>
      <c r="D1037" t="s">
        <v>980</v>
      </c>
      <c r="E1037"/>
    </row>
    <row r="1038" spans="2:5" x14ac:dyDescent="0.35">
      <c r="B1038"/>
      <c r="D1038" t="s">
        <v>980</v>
      </c>
      <c r="E1038"/>
    </row>
    <row r="1039" spans="2:5" x14ac:dyDescent="0.35">
      <c r="B1039"/>
      <c r="D1039" t="s">
        <v>980</v>
      </c>
      <c r="E1039"/>
    </row>
    <row r="1040" spans="2:5" x14ac:dyDescent="0.35">
      <c r="B1040"/>
      <c r="D1040" t="s">
        <v>980</v>
      </c>
      <c r="E1040"/>
    </row>
    <row r="1041" spans="2:5" x14ac:dyDescent="0.35">
      <c r="B1041"/>
      <c r="D1041" t="s">
        <v>980</v>
      </c>
      <c r="E1041"/>
    </row>
    <row r="1042" spans="2:5" x14ac:dyDescent="0.35">
      <c r="B1042"/>
      <c r="D1042" t="s">
        <v>980</v>
      </c>
      <c r="E1042"/>
    </row>
    <row r="1043" spans="2:5" x14ac:dyDescent="0.35">
      <c r="B1043"/>
      <c r="D1043" t="s">
        <v>980</v>
      </c>
      <c r="E1043"/>
    </row>
    <row r="1044" spans="2:5" x14ac:dyDescent="0.35">
      <c r="B1044"/>
      <c r="D1044" t="s">
        <v>980</v>
      </c>
      <c r="E1044"/>
    </row>
    <row r="1045" spans="2:5" x14ac:dyDescent="0.35">
      <c r="B1045"/>
      <c r="D1045" t="s">
        <v>980</v>
      </c>
      <c r="E1045"/>
    </row>
    <row r="1046" spans="2:5" x14ac:dyDescent="0.35">
      <c r="B1046"/>
      <c r="D1046" t="s">
        <v>980</v>
      </c>
      <c r="E1046"/>
    </row>
    <row r="1047" spans="2:5" x14ac:dyDescent="0.35">
      <c r="B1047"/>
      <c r="D1047" t="s">
        <v>980</v>
      </c>
      <c r="E1047"/>
    </row>
    <row r="1048" spans="2:5" x14ac:dyDescent="0.35">
      <c r="B1048"/>
      <c r="D1048" t="s">
        <v>980</v>
      </c>
      <c r="E1048"/>
    </row>
    <row r="1049" spans="2:5" x14ac:dyDescent="0.35">
      <c r="B1049"/>
      <c r="D1049" t="s">
        <v>980</v>
      </c>
      <c r="E1049"/>
    </row>
    <row r="1050" spans="2:5" x14ac:dyDescent="0.35">
      <c r="B1050"/>
      <c r="D1050" t="s">
        <v>980</v>
      </c>
      <c r="E1050"/>
    </row>
    <row r="1051" spans="2:5" x14ac:dyDescent="0.35">
      <c r="B1051"/>
      <c r="D1051" t="s">
        <v>980</v>
      </c>
      <c r="E1051"/>
    </row>
    <row r="1052" spans="2:5" x14ac:dyDescent="0.35">
      <c r="B1052"/>
      <c r="D1052" t="s">
        <v>980</v>
      </c>
      <c r="E1052"/>
    </row>
    <row r="1053" spans="2:5" x14ac:dyDescent="0.35">
      <c r="B1053"/>
      <c r="D1053" t="s">
        <v>980</v>
      </c>
      <c r="E1053"/>
    </row>
    <row r="1054" spans="2:5" x14ac:dyDescent="0.35">
      <c r="B1054"/>
      <c r="D1054" t="s">
        <v>980</v>
      </c>
      <c r="E1054"/>
    </row>
    <row r="1055" spans="2:5" x14ac:dyDescent="0.35">
      <c r="B1055"/>
      <c r="D1055" t="s">
        <v>980</v>
      </c>
      <c r="E1055"/>
    </row>
    <row r="1056" spans="2:5" x14ac:dyDescent="0.35">
      <c r="B1056"/>
      <c r="D1056" t="s">
        <v>980</v>
      </c>
      <c r="E1056"/>
    </row>
    <row r="1057" spans="2:5" x14ac:dyDescent="0.35">
      <c r="B1057"/>
      <c r="D1057" t="s">
        <v>980</v>
      </c>
      <c r="E1057"/>
    </row>
    <row r="1058" spans="2:5" x14ac:dyDescent="0.35">
      <c r="B1058"/>
      <c r="D1058" t="s">
        <v>980</v>
      </c>
      <c r="E1058"/>
    </row>
    <row r="1059" spans="2:5" x14ac:dyDescent="0.35">
      <c r="B1059"/>
      <c r="D1059" t="s">
        <v>980</v>
      </c>
      <c r="E1059"/>
    </row>
    <row r="1060" spans="2:5" x14ac:dyDescent="0.35">
      <c r="B1060"/>
      <c r="D1060" t="s">
        <v>980</v>
      </c>
      <c r="E1060"/>
    </row>
    <row r="1061" spans="2:5" x14ac:dyDescent="0.35">
      <c r="B1061"/>
      <c r="D1061" t="s">
        <v>980</v>
      </c>
      <c r="E1061"/>
    </row>
    <row r="1062" spans="2:5" x14ac:dyDescent="0.35">
      <c r="B1062"/>
      <c r="D1062" t="s">
        <v>980</v>
      </c>
      <c r="E1062"/>
    </row>
    <row r="1063" spans="2:5" x14ac:dyDescent="0.35">
      <c r="B1063"/>
      <c r="D1063" t="s">
        <v>980</v>
      </c>
      <c r="E1063"/>
    </row>
    <row r="1064" spans="2:5" x14ac:dyDescent="0.35">
      <c r="B1064"/>
      <c r="D1064" t="s">
        <v>980</v>
      </c>
      <c r="E1064"/>
    </row>
    <row r="1065" spans="2:5" x14ac:dyDescent="0.35">
      <c r="B1065"/>
      <c r="D1065" t="s">
        <v>980</v>
      </c>
      <c r="E1065"/>
    </row>
    <row r="1066" spans="2:5" x14ac:dyDescent="0.35">
      <c r="B1066"/>
      <c r="D1066" t="s">
        <v>980</v>
      </c>
      <c r="E1066"/>
    </row>
    <row r="1067" spans="2:5" x14ac:dyDescent="0.35">
      <c r="B1067"/>
      <c r="D1067" t="s">
        <v>980</v>
      </c>
      <c r="E1067"/>
    </row>
    <row r="1068" spans="2:5" x14ac:dyDescent="0.35">
      <c r="B1068"/>
      <c r="D1068" t="s">
        <v>980</v>
      </c>
      <c r="E1068"/>
    </row>
    <row r="1069" spans="2:5" x14ac:dyDescent="0.35">
      <c r="B1069"/>
      <c r="D1069" t="s">
        <v>980</v>
      </c>
      <c r="E1069"/>
    </row>
    <row r="1070" spans="2:5" x14ac:dyDescent="0.35">
      <c r="B1070"/>
      <c r="D1070" t="s">
        <v>980</v>
      </c>
      <c r="E1070"/>
    </row>
    <row r="1071" spans="2:5" x14ac:dyDescent="0.35">
      <c r="B1071"/>
      <c r="D1071" t="s">
        <v>980</v>
      </c>
      <c r="E1071"/>
    </row>
    <row r="1072" spans="2:5" x14ac:dyDescent="0.35">
      <c r="B1072"/>
      <c r="D1072" t="s">
        <v>980</v>
      </c>
      <c r="E1072"/>
    </row>
    <row r="1073" spans="2:5" x14ac:dyDescent="0.35">
      <c r="B1073"/>
      <c r="D1073" t="s">
        <v>980</v>
      </c>
      <c r="E1073"/>
    </row>
    <row r="1074" spans="2:5" x14ac:dyDescent="0.35">
      <c r="B1074"/>
      <c r="D1074" t="s">
        <v>980</v>
      </c>
      <c r="E1074"/>
    </row>
    <row r="1075" spans="2:5" x14ac:dyDescent="0.35">
      <c r="B1075"/>
      <c r="D1075" t="s">
        <v>980</v>
      </c>
      <c r="E1075"/>
    </row>
    <row r="1076" spans="2:5" x14ac:dyDescent="0.35">
      <c r="B1076"/>
      <c r="D1076" t="s">
        <v>980</v>
      </c>
      <c r="E1076"/>
    </row>
    <row r="1077" spans="2:5" x14ac:dyDescent="0.35">
      <c r="B1077"/>
      <c r="D1077" t="s">
        <v>980</v>
      </c>
      <c r="E1077"/>
    </row>
    <row r="1078" spans="2:5" x14ac:dyDescent="0.35">
      <c r="B1078"/>
      <c r="D1078" t="s">
        <v>980</v>
      </c>
      <c r="E1078"/>
    </row>
    <row r="1079" spans="2:5" x14ac:dyDescent="0.35">
      <c r="B1079"/>
      <c r="D1079" t="s">
        <v>980</v>
      </c>
      <c r="E1079"/>
    </row>
    <row r="1080" spans="2:5" x14ac:dyDescent="0.35">
      <c r="B1080"/>
      <c r="D1080" t="s">
        <v>980</v>
      </c>
      <c r="E1080"/>
    </row>
    <row r="1081" spans="2:5" x14ac:dyDescent="0.35">
      <c r="B1081"/>
      <c r="D1081" t="s">
        <v>980</v>
      </c>
      <c r="E1081"/>
    </row>
    <row r="1082" spans="2:5" x14ac:dyDescent="0.35">
      <c r="B1082"/>
      <c r="D1082" t="s">
        <v>980</v>
      </c>
      <c r="E1082"/>
    </row>
    <row r="1083" spans="2:5" x14ac:dyDescent="0.35">
      <c r="B1083"/>
      <c r="D1083" t="s">
        <v>980</v>
      </c>
      <c r="E1083"/>
    </row>
    <row r="1084" spans="2:5" x14ac:dyDescent="0.35">
      <c r="B1084"/>
      <c r="D1084" t="s">
        <v>980</v>
      </c>
      <c r="E1084"/>
    </row>
    <row r="1085" spans="2:5" x14ac:dyDescent="0.35">
      <c r="B1085"/>
      <c r="D1085" t="s">
        <v>980</v>
      </c>
      <c r="E1085"/>
    </row>
    <row r="1086" spans="2:5" x14ac:dyDescent="0.35">
      <c r="B1086"/>
      <c r="D1086" t="s">
        <v>980</v>
      </c>
      <c r="E1086"/>
    </row>
    <row r="1087" spans="2:5" x14ac:dyDescent="0.35">
      <c r="B1087"/>
      <c r="D1087" t="s">
        <v>980</v>
      </c>
      <c r="E1087"/>
    </row>
    <row r="1088" spans="2:5" x14ac:dyDescent="0.35">
      <c r="B1088"/>
      <c r="D1088" t="s">
        <v>980</v>
      </c>
      <c r="E1088"/>
    </row>
    <row r="1089" spans="2:5" x14ac:dyDescent="0.35">
      <c r="B1089"/>
      <c r="D1089" t="s">
        <v>980</v>
      </c>
      <c r="E1089"/>
    </row>
    <row r="1090" spans="2:5" x14ac:dyDescent="0.35">
      <c r="B1090"/>
      <c r="D1090" t="s">
        <v>980</v>
      </c>
      <c r="E1090"/>
    </row>
    <row r="1091" spans="2:5" x14ac:dyDescent="0.35">
      <c r="B1091"/>
      <c r="D1091" t="s">
        <v>980</v>
      </c>
      <c r="E1091"/>
    </row>
    <row r="1092" spans="2:5" x14ac:dyDescent="0.35">
      <c r="B1092"/>
      <c r="D1092" t="s">
        <v>980</v>
      </c>
      <c r="E1092"/>
    </row>
    <row r="1093" spans="2:5" x14ac:dyDescent="0.35">
      <c r="B1093"/>
      <c r="D1093" t="s">
        <v>980</v>
      </c>
      <c r="E1093"/>
    </row>
    <row r="1094" spans="2:5" x14ac:dyDescent="0.35">
      <c r="B1094"/>
      <c r="D1094" t="s">
        <v>980</v>
      </c>
      <c r="E1094"/>
    </row>
    <row r="1095" spans="2:5" x14ac:dyDescent="0.35">
      <c r="B1095"/>
      <c r="D1095" t="s">
        <v>980</v>
      </c>
      <c r="E1095"/>
    </row>
    <row r="1096" spans="2:5" x14ac:dyDescent="0.35">
      <c r="B1096"/>
      <c r="D1096" t="s">
        <v>980</v>
      </c>
      <c r="E1096"/>
    </row>
    <row r="1097" spans="2:5" x14ac:dyDescent="0.35">
      <c r="B1097"/>
      <c r="D1097" t="s">
        <v>980</v>
      </c>
      <c r="E1097"/>
    </row>
    <row r="1098" spans="2:5" x14ac:dyDescent="0.35">
      <c r="B1098"/>
      <c r="D1098" t="s">
        <v>980</v>
      </c>
      <c r="E1098"/>
    </row>
    <row r="1099" spans="2:5" x14ac:dyDescent="0.35">
      <c r="B1099"/>
      <c r="D1099" t="s">
        <v>980</v>
      </c>
      <c r="E1099"/>
    </row>
    <row r="1100" spans="2:5" x14ac:dyDescent="0.35">
      <c r="B1100"/>
      <c r="D1100" t="s">
        <v>980</v>
      </c>
      <c r="E1100"/>
    </row>
    <row r="1101" spans="2:5" x14ac:dyDescent="0.35">
      <c r="B1101"/>
      <c r="D1101" t="s">
        <v>980</v>
      </c>
      <c r="E1101"/>
    </row>
    <row r="1102" spans="2:5" x14ac:dyDescent="0.35">
      <c r="B1102"/>
      <c r="D1102" t="s">
        <v>980</v>
      </c>
      <c r="E1102"/>
    </row>
    <row r="1103" spans="2:5" x14ac:dyDescent="0.35">
      <c r="B1103"/>
      <c r="D1103" t="s">
        <v>980</v>
      </c>
      <c r="E1103"/>
    </row>
    <row r="1104" spans="2:5" x14ac:dyDescent="0.35">
      <c r="B1104"/>
      <c r="D1104" t="s">
        <v>980</v>
      </c>
      <c r="E1104"/>
    </row>
    <row r="1105" spans="2:5" x14ac:dyDescent="0.35">
      <c r="B1105"/>
      <c r="D1105" t="s">
        <v>980</v>
      </c>
      <c r="E1105"/>
    </row>
    <row r="1106" spans="2:5" x14ac:dyDescent="0.35">
      <c r="B1106"/>
      <c r="D1106" t="s">
        <v>980</v>
      </c>
      <c r="E1106"/>
    </row>
    <row r="1107" spans="2:5" x14ac:dyDescent="0.35">
      <c r="B1107"/>
      <c r="D1107" t="s">
        <v>980</v>
      </c>
      <c r="E1107"/>
    </row>
    <row r="1108" spans="2:5" x14ac:dyDescent="0.35">
      <c r="B1108"/>
      <c r="D1108" t="s">
        <v>980</v>
      </c>
      <c r="E1108"/>
    </row>
    <row r="1109" spans="2:5" x14ac:dyDescent="0.35">
      <c r="B1109"/>
      <c r="D1109" t="s">
        <v>980</v>
      </c>
      <c r="E1109"/>
    </row>
    <row r="1110" spans="2:5" x14ac:dyDescent="0.35">
      <c r="B1110"/>
      <c r="D1110" t="s">
        <v>980</v>
      </c>
      <c r="E1110"/>
    </row>
    <row r="1111" spans="2:5" x14ac:dyDescent="0.35">
      <c r="B1111"/>
      <c r="D1111" t="s">
        <v>980</v>
      </c>
      <c r="E1111"/>
    </row>
    <row r="1112" spans="2:5" x14ac:dyDescent="0.35">
      <c r="B1112"/>
      <c r="D1112" t="s">
        <v>980</v>
      </c>
      <c r="E1112"/>
    </row>
    <row r="1113" spans="2:5" x14ac:dyDescent="0.35">
      <c r="B1113"/>
      <c r="D1113" t="s">
        <v>980</v>
      </c>
      <c r="E1113"/>
    </row>
    <row r="1114" spans="2:5" x14ac:dyDescent="0.35">
      <c r="B1114"/>
      <c r="D1114" t="s">
        <v>980</v>
      </c>
      <c r="E1114"/>
    </row>
    <row r="1115" spans="2:5" x14ac:dyDescent="0.35">
      <c r="B1115"/>
      <c r="D1115" t="s">
        <v>980</v>
      </c>
      <c r="E1115"/>
    </row>
    <row r="1116" spans="2:5" x14ac:dyDescent="0.35">
      <c r="B1116"/>
      <c r="D1116" t="s">
        <v>980</v>
      </c>
      <c r="E1116"/>
    </row>
    <row r="1117" spans="2:5" x14ac:dyDescent="0.35">
      <c r="B1117"/>
      <c r="D1117" t="s">
        <v>980</v>
      </c>
      <c r="E1117"/>
    </row>
    <row r="1118" spans="2:5" x14ac:dyDescent="0.35">
      <c r="B1118"/>
      <c r="D1118" t="s">
        <v>980</v>
      </c>
      <c r="E1118"/>
    </row>
    <row r="1119" spans="2:5" x14ac:dyDescent="0.35">
      <c r="B1119"/>
      <c r="D1119" t="s">
        <v>980</v>
      </c>
      <c r="E1119"/>
    </row>
    <row r="1120" spans="2:5" x14ac:dyDescent="0.35">
      <c r="B1120"/>
      <c r="D1120" t="s">
        <v>980</v>
      </c>
      <c r="E1120"/>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BCC1-0CE2-477C-A953-1AA24C2E6924}">
  <dimension ref="A1:AF50"/>
  <sheetViews>
    <sheetView topLeftCell="Q1" zoomScale="79" zoomScaleNormal="90" workbookViewId="0">
      <selection activeCell="W10" sqref="W10"/>
    </sheetView>
  </sheetViews>
  <sheetFormatPr defaultRowHeight="14.5" x14ac:dyDescent="0.35"/>
  <cols>
    <col min="1" max="1" width="10.7265625" bestFit="1" customWidth="1"/>
    <col min="2" max="2" width="10.81640625" bestFit="1" customWidth="1"/>
    <col min="3" max="3" width="13.1796875" bestFit="1" customWidth="1"/>
    <col min="4" max="4" width="14.36328125" customWidth="1"/>
    <col min="5" max="5" width="10.08984375" customWidth="1"/>
    <col min="6" max="6" width="11.36328125" bestFit="1" customWidth="1"/>
    <col min="7" max="7" width="14.90625" bestFit="1" customWidth="1"/>
    <col min="8" max="8" width="10.7265625" bestFit="1" customWidth="1"/>
    <col min="9" max="9" width="12.7265625" bestFit="1" customWidth="1"/>
    <col min="10" max="10" width="11.36328125" bestFit="1" customWidth="1"/>
    <col min="11" max="11" width="14.08984375" bestFit="1" customWidth="1"/>
    <col min="12" max="12" width="11.36328125" bestFit="1" customWidth="1"/>
    <col min="13" max="13" width="14.08984375" bestFit="1" customWidth="1"/>
    <col min="14" max="14" width="13.6328125" bestFit="1" customWidth="1"/>
    <col min="15" max="15" width="19.1796875" customWidth="1"/>
    <col min="16" max="16" width="11.26953125" bestFit="1" customWidth="1"/>
    <col min="17" max="17" width="14.36328125" customWidth="1"/>
    <col min="18" max="18" width="13.26953125" bestFit="1" customWidth="1"/>
    <col min="19" max="19" width="13.6328125" bestFit="1" customWidth="1"/>
    <col min="20" max="20" width="19.1796875" bestFit="1" customWidth="1"/>
    <col min="21" max="21" width="5.1796875" bestFit="1" customWidth="1"/>
    <col min="22" max="22" width="10.7265625" bestFit="1" customWidth="1"/>
    <col min="23" max="23" width="12.7265625" bestFit="1" customWidth="1"/>
    <col min="24" max="24" width="17.08984375" bestFit="1" customWidth="1"/>
    <col min="25" max="25" width="19.1796875" bestFit="1" customWidth="1"/>
    <col min="26" max="26" width="6.6328125" bestFit="1" customWidth="1"/>
    <col min="27" max="27" width="7.7265625" bestFit="1" customWidth="1"/>
    <col min="28" max="28" width="6.1796875" bestFit="1" customWidth="1"/>
    <col min="29" max="29" width="6.08984375" bestFit="1" customWidth="1"/>
    <col min="30" max="30" width="10.7265625" bestFit="1" customWidth="1"/>
    <col min="31" max="31" width="7.7265625" bestFit="1" customWidth="1"/>
    <col min="32" max="32" width="10.7265625" bestFit="1" customWidth="1"/>
  </cols>
  <sheetData>
    <row r="1" spans="1:32" s="26" customFormat="1" ht="14.5" customHeight="1" x14ac:dyDescent="0.35">
      <c r="B1" s="46" t="s">
        <v>1003</v>
      </c>
      <c r="C1" s="46"/>
      <c r="F1" s="46" t="s">
        <v>1004</v>
      </c>
      <c r="G1" s="46"/>
      <c r="H1" s="24"/>
      <c r="I1" s="34"/>
      <c r="J1" s="47" t="s">
        <v>1005</v>
      </c>
      <c r="K1" s="47"/>
      <c r="L1" s="35"/>
      <c r="N1" s="45" t="s">
        <v>1002</v>
      </c>
      <c r="O1" s="45"/>
      <c r="P1" s="36"/>
      <c r="S1" s="45" t="s">
        <v>1011</v>
      </c>
      <c r="T1" s="45"/>
      <c r="U1" s="45"/>
      <c r="Y1" s="45" t="s">
        <v>1017</v>
      </c>
      <c r="Z1" s="45"/>
      <c r="AA1" s="45"/>
      <c r="AB1" s="45"/>
    </row>
    <row r="2" spans="1:32" s="26" customFormat="1" ht="14.5" customHeight="1" x14ac:dyDescent="0.35">
      <c r="B2" s="46"/>
      <c r="C2" s="46"/>
      <c r="F2" s="46"/>
      <c r="G2" s="46"/>
      <c r="H2" s="24"/>
      <c r="I2" s="34"/>
      <c r="J2" s="47"/>
      <c r="K2" s="47"/>
      <c r="L2" s="35"/>
      <c r="N2" s="45"/>
      <c r="O2" s="45"/>
      <c r="P2" s="36"/>
      <c r="S2" s="45"/>
      <c r="T2" s="45"/>
      <c r="U2" s="45"/>
      <c r="Y2" s="45"/>
      <c r="Z2" s="45"/>
      <c r="AA2" s="45"/>
      <c r="AB2" s="45"/>
    </row>
    <row r="3" spans="1:32" s="26" customFormat="1" ht="14.5" customHeight="1" x14ac:dyDescent="0.35">
      <c r="E3" s="24"/>
      <c r="F3" s="24"/>
    </row>
    <row r="4" spans="1:32" s="26" customFormat="1" ht="14.5" customHeight="1" x14ac:dyDescent="0.35">
      <c r="E4" s="24"/>
      <c r="F4" s="24"/>
    </row>
    <row r="5" spans="1:32" s="26" customFormat="1" x14ac:dyDescent="0.35">
      <c r="B5" s="29" t="s">
        <v>997</v>
      </c>
      <c r="C5" s="30" t="s">
        <v>998</v>
      </c>
      <c r="F5" s="29" t="s">
        <v>1000</v>
      </c>
      <c r="G5" s="33" t="s">
        <v>998</v>
      </c>
      <c r="J5" s="29" t="s">
        <v>1000</v>
      </c>
      <c r="K5" s="30" t="s">
        <v>1001</v>
      </c>
      <c r="N5" s="29" t="s">
        <v>998</v>
      </c>
      <c r="O5" s="29" t="s">
        <v>1010</v>
      </c>
      <c r="P5" s="30"/>
      <c r="S5" s="43" t="s">
        <v>1012</v>
      </c>
      <c r="T5" s="43" t="s">
        <v>1010</v>
      </c>
      <c r="U5"/>
      <c r="V5"/>
      <c r="X5" s="43" t="s">
        <v>1016</v>
      </c>
      <c r="Y5" s="41" t="s">
        <v>1014</v>
      </c>
      <c r="AE5"/>
      <c r="AF5"/>
    </row>
    <row r="6" spans="1:32" ht="14.5" customHeight="1" x14ac:dyDescent="0.35">
      <c r="A6" s="21"/>
      <c r="B6" s="31" t="s">
        <v>89</v>
      </c>
      <c r="C6" s="32">
        <v>35075942</v>
      </c>
      <c r="D6" s="20"/>
      <c r="E6" s="21"/>
      <c r="F6" s="31" t="s">
        <v>17</v>
      </c>
      <c r="G6" s="33">
        <v>30179810</v>
      </c>
      <c r="J6" s="31" t="s">
        <v>17</v>
      </c>
      <c r="K6" s="28">
        <v>225</v>
      </c>
      <c r="L6" s="21"/>
      <c r="N6" s="29" t="s">
        <v>999</v>
      </c>
      <c r="O6" s="30" t="s">
        <v>983</v>
      </c>
      <c r="P6" s="30" t="s">
        <v>984</v>
      </c>
      <c r="Q6" s="20"/>
      <c r="R6" s="20"/>
      <c r="S6" s="43" t="s">
        <v>999</v>
      </c>
      <c r="T6" s="41" t="s">
        <v>983</v>
      </c>
      <c r="U6" s="41" t="s">
        <v>984</v>
      </c>
      <c r="X6" s="26"/>
      <c r="Y6" s="26"/>
      <c r="Z6" s="26"/>
      <c r="AA6" s="26"/>
      <c r="AB6" s="26"/>
      <c r="AC6" s="26"/>
      <c r="AD6" s="26"/>
    </row>
    <row r="7" spans="1:32" ht="14.5" customHeight="1" x14ac:dyDescent="0.35">
      <c r="A7" s="21"/>
      <c r="B7" s="31" t="s">
        <v>31</v>
      </c>
      <c r="C7" s="32">
        <v>34590347</v>
      </c>
      <c r="D7" s="20"/>
      <c r="E7" s="21"/>
      <c r="F7" s="31" t="s">
        <v>23</v>
      </c>
      <c r="G7" s="33">
        <v>27637043</v>
      </c>
      <c r="J7" s="31" t="s">
        <v>25</v>
      </c>
      <c r="K7" s="28">
        <v>197</v>
      </c>
      <c r="L7" s="23"/>
      <c r="N7" s="31" t="s">
        <v>985</v>
      </c>
      <c r="O7" s="28">
        <v>13000656</v>
      </c>
      <c r="P7" s="28">
        <v>306946</v>
      </c>
      <c r="Q7" s="21"/>
      <c r="R7" s="25"/>
      <c r="S7" s="19" t="s">
        <v>985</v>
      </c>
      <c r="T7" s="20">
        <v>96</v>
      </c>
      <c r="U7" s="20">
        <v>2</v>
      </c>
      <c r="X7" s="43" t="s">
        <v>1013</v>
      </c>
      <c r="Y7" s="43" t="s">
        <v>1015</v>
      </c>
    </row>
    <row r="8" spans="1:32" ht="14.5" customHeight="1" x14ac:dyDescent="0.35">
      <c r="A8" s="21"/>
      <c r="B8" s="31" t="s">
        <v>16</v>
      </c>
      <c r="C8" s="32">
        <v>34122586</v>
      </c>
      <c r="D8" s="20"/>
      <c r="E8" s="21"/>
      <c r="F8" s="31" t="s">
        <v>25</v>
      </c>
      <c r="G8" s="33">
        <v>27510036</v>
      </c>
      <c r="I8" s="21"/>
      <c r="J8" s="31" t="s">
        <v>20</v>
      </c>
      <c r="K8" s="28">
        <v>192</v>
      </c>
      <c r="L8" s="23"/>
      <c r="M8" s="23"/>
      <c r="N8" s="31" t="s">
        <v>986</v>
      </c>
      <c r="O8" s="28">
        <v>7753146</v>
      </c>
      <c r="P8" s="28"/>
      <c r="Q8" s="21"/>
      <c r="R8" s="25"/>
      <c r="S8" s="19" t="s">
        <v>986</v>
      </c>
      <c r="T8" s="20">
        <v>58</v>
      </c>
      <c r="U8" s="20"/>
      <c r="X8" s="43" t="s">
        <v>999</v>
      </c>
      <c r="Y8" s="41" t="s">
        <v>25</v>
      </c>
      <c r="Z8" s="41" t="s">
        <v>17</v>
      </c>
      <c r="AA8" s="41" t="s">
        <v>29</v>
      </c>
      <c r="AB8" s="41" t="s">
        <v>20</v>
      </c>
      <c r="AC8" s="41" t="s">
        <v>23</v>
      </c>
      <c r="AD8" s="41" t="s">
        <v>982</v>
      </c>
    </row>
    <row r="9" spans="1:32" ht="14.5" customHeight="1" x14ac:dyDescent="0.35">
      <c r="B9" s="31" t="s">
        <v>14</v>
      </c>
      <c r="C9" s="32">
        <v>34010615</v>
      </c>
      <c r="D9" s="20"/>
      <c r="E9" s="21"/>
      <c r="F9" s="31" t="s">
        <v>29</v>
      </c>
      <c r="G9" s="33">
        <v>26699591</v>
      </c>
      <c r="I9" s="21"/>
      <c r="J9" s="31" t="s">
        <v>29</v>
      </c>
      <c r="K9" s="28">
        <v>185</v>
      </c>
      <c r="N9" s="31" t="s">
        <v>987</v>
      </c>
      <c r="O9" s="28">
        <v>11382462</v>
      </c>
      <c r="P9" s="28"/>
      <c r="Q9" s="21"/>
      <c r="S9" s="19" t="s">
        <v>987</v>
      </c>
      <c r="T9" s="20">
        <v>72</v>
      </c>
      <c r="U9" s="20"/>
      <c r="X9" s="19" t="s">
        <v>985</v>
      </c>
      <c r="Y9" s="20">
        <v>19</v>
      </c>
      <c r="Z9" s="20">
        <v>24</v>
      </c>
      <c r="AA9" s="20">
        <v>23</v>
      </c>
      <c r="AB9" s="20">
        <v>17</v>
      </c>
      <c r="AC9" s="20">
        <v>15</v>
      </c>
      <c r="AD9" s="20">
        <v>98</v>
      </c>
    </row>
    <row r="10" spans="1:32" ht="14.5" customHeight="1" x14ac:dyDescent="0.35">
      <c r="B10" s="31" t="s">
        <v>982</v>
      </c>
      <c r="C10" s="32">
        <v>137799490</v>
      </c>
      <c r="D10" s="20"/>
      <c r="E10" s="21"/>
      <c r="F10" s="31" t="s">
        <v>20</v>
      </c>
      <c r="G10" s="33">
        <v>25773010</v>
      </c>
      <c r="I10" s="21"/>
      <c r="J10" s="31" t="s">
        <v>23</v>
      </c>
      <c r="K10" s="28">
        <v>183</v>
      </c>
      <c r="N10" s="31" t="s">
        <v>988</v>
      </c>
      <c r="O10" s="28">
        <v>9437178</v>
      </c>
      <c r="P10" s="28"/>
      <c r="Q10" s="21"/>
      <c r="S10" s="19" t="s">
        <v>988</v>
      </c>
      <c r="T10" s="20">
        <v>66</v>
      </c>
      <c r="U10" s="20"/>
      <c r="X10" s="19" t="s">
        <v>986</v>
      </c>
      <c r="Y10" s="20">
        <v>10</v>
      </c>
      <c r="Z10" s="20">
        <v>12</v>
      </c>
      <c r="AA10" s="20">
        <v>12</v>
      </c>
      <c r="AB10" s="20">
        <v>14</v>
      </c>
      <c r="AC10" s="20">
        <v>10</v>
      </c>
      <c r="AD10" s="20">
        <v>58</v>
      </c>
    </row>
    <row r="11" spans="1:32" x14ac:dyDescent="0.35">
      <c r="C11" s="21"/>
      <c r="D11" s="21"/>
      <c r="E11" s="21"/>
      <c r="F11" s="31" t="s">
        <v>982</v>
      </c>
      <c r="G11" s="33">
        <v>137799490</v>
      </c>
      <c r="H11" s="21"/>
      <c r="I11" s="21"/>
      <c r="J11" s="31" t="s">
        <v>982</v>
      </c>
      <c r="K11" s="28">
        <v>982</v>
      </c>
      <c r="N11" s="31" t="s">
        <v>989</v>
      </c>
      <c r="O11" s="28">
        <v>10765269</v>
      </c>
      <c r="P11" s="28"/>
      <c r="Q11" s="21"/>
      <c r="S11" s="19" t="s">
        <v>989</v>
      </c>
      <c r="T11" s="20">
        <v>89</v>
      </c>
      <c r="U11" s="20"/>
      <c r="X11" s="19" t="s">
        <v>987</v>
      </c>
      <c r="Y11" s="20">
        <v>10</v>
      </c>
      <c r="Z11" s="20">
        <v>23</v>
      </c>
      <c r="AA11" s="20">
        <v>13</v>
      </c>
      <c r="AB11" s="20">
        <v>13</v>
      </c>
      <c r="AC11" s="20">
        <v>13</v>
      </c>
      <c r="AD11" s="20">
        <v>72</v>
      </c>
    </row>
    <row r="12" spans="1:32" x14ac:dyDescent="0.35">
      <c r="C12" s="21"/>
      <c r="D12" s="21"/>
      <c r="E12" s="21"/>
      <c r="H12" s="21"/>
      <c r="I12" s="21"/>
      <c r="J12" s="21"/>
      <c r="K12" s="21"/>
      <c r="N12" s="31" t="s">
        <v>990</v>
      </c>
      <c r="O12" s="28">
        <v>9601079</v>
      </c>
      <c r="P12" s="28"/>
      <c r="Q12" s="21"/>
      <c r="S12" s="19" t="s">
        <v>990</v>
      </c>
      <c r="T12" s="20">
        <v>77</v>
      </c>
      <c r="U12" s="20"/>
      <c r="X12" s="19" t="s">
        <v>988</v>
      </c>
      <c r="Y12" s="20">
        <v>14</v>
      </c>
      <c r="Z12" s="20">
        <v>13</v>
      </c>
      <c r="AA12" s="20">
        <v>15</v>
      </c>
      <c r="AB12" s="20">
        <v>13</v>
      </c>
      <c r="AC12" s="20">
        <v>11</v>
      </c>
      <c r="AD12" s="20">
        <v>66</v>
      </c>
    </row>
    <row r="13" spans="1:32" x14ac:dyDescent="0.35">
      <c r="C13" s="21"/>
      <c r="D13" s="21"/>
      <c r="E13" s="21"/>
      <c r="H13" s="21"/>
      <c r="I13" s="21"/>
      <c r="J13" s="21"/>
      <c r="K13" s="21"/>
      <c r="N13" s="31" t="s">
        <v>991</v>
      </c>
      <c r="O13" s="28">
        <v>15464763</v>
      </c>
      <c r="P13" s="28"/>
      <c r="Q13" s="21"/>
      <c r="S13" s="19" t="s">
        <v>991</v>
      </c>
      <c r="T13" s="20">
        <v>104</v>
      </c>
      <c r="U13" s="20"/>
      <c r="X13" s="19" t="s">
        <v>989</v>
      </c>
      <c r="Y13" s="20">
        <v>17</v>
      </c>
      <c r="Z13" s="20">
        <v>12</v>
      </c>
      <c r="AA13" s="20">
        <v>17</v>
      </c>
      <c r="AB13" s="20">
        <v>22</v>
      </c>
      <c r="AC13" s="20">
        <v>21</v>
      </c>
      <c r="AD13" s="20">
        <v>89</v>
      </c>
    </row>
    <row r="14" spans="1:32" x14ac:dyDescent="0.35">
      <c r="C14" s="21"/>
      <c r="D14" s="21"/>
      <c r="E14" s="21"/>
      <c r="H14" s="21"/>
      <c r="I14" s="21"/>
      <c r="J14" s="21"/>
      <c r="K14" s="21"/>
      <c r="N14" s="31" t="s">
        <v>992</v>
      </c>
      <c r="O14" s="28">
        <v>11424485</v>
      </c>
      <c r="P14" s="28"/>
      <c r="Q14" s="21"/>
      <c r="S14" s="19" t="s">
        <v>992</v>
      </c>
      <c r="T14" s="20">
        <v>76</v>
      </c>
      <c r="U14" s="20"/>
      <c r="X14" s="19" t="s">
        <v>990</v>
      </c>
      <c r="Y14" s="20">
        <v>14</v>
      </c>
      <c r="Z14" s="20">
        <v>20</v>
      </c>
      <c r="AA14" s="20">
        <v>14</v>
      </c>
      <c r="AB14" s="20">
        <v>13</v>
      </c>
      <c r="AC14" s="20">
        <v>16</v>
      </c>
      <c r="AD14" s="20">
        <v>77</v>
      </c>
    </row>
    <row r="15" spans="1:32" x14ac:dyDescent="0.35">
      <c r="A15" s="21"/>
      <c r="B15" s="21"/>
      <c r="C15" s="21"/>
      <c r="D15" s="21"/>
      <c r="E15" s="21"/>
      <c r="H15" s="21"/>
      <c r="I15" s="21"/>
      <c r="J15" s="21"/>
      <c r="K15" s="21"/>
      <c r="N15" s="31" t="s">
        <v>993</v>
      </c>
      <c r="O15" s="28">
        <v>12685984</v>
      </c>
      <c r="P15" s="28"/>
      <c r="Q15" s="26"/>
      <c r="S15" s="19" t="s">
        <v>993</v>
      </c>
      <c r="T15" s="20">
        <v>83</v>
      </c>
      <c r="U15" s="20"/>
      <c r="X15" s="19" t="s">
        <v>991</v>
      </c>
      <c r="Y15" s="20">
        <v>17</v>
      </c>
      <c r="Z15" s="20">
        <v>30</v>
      </c>
      <c r="AA15" s="20">
        <v>12</v>
      </c>
      <c r="AB15" s="20">
        <v>17</v>
      </c>
      <c r="AC15" s="20">
        <v>28</v>
      </c>
      <c r="AD15" s="20">
        <v>104</v>
      </c>
    </row>
    <row r="16" spans="1:32" x14ac:dyDescent="0.35">
      <c r="A16" s="21"/>
      <c r="B16" s="21"/>
      <c r="C16" s="21"/>
      <c r="D16" s="21"/>
      <c r="E16" s="21"/>
      <c r="F16" s="21"/>
      <c r="G16" s="21"/>
      <c r="H16" s="21"/>
      <c r="I16" s="21"/>
      <c r="J16" s="21"/>
      <c r="K16" s="21"/>
      <c r="L16" s="21"/>
      <c r="M16" s="21"/>
      <c r="N16" s="31" t="s">
        <v>994</v>
      </c>
      <c r="O16" s="28">
        <v>11246894</v>
      </c>
      <c r="P16" s="28"/>
      <c r="Q16" s="21"/>
      <c r="S16" s="19" t="s">
        <v>994</v>
      </c>
      <c r="T16" s="20">
        <v>86</v>
      </c>
      <c r="U16" s="20"/>
      <c r="X16" s="19" t="s">
        <v>992</v>
      </c>
      <c r="Y16" s="20">
        <v>18</v>
      </c>
      <c r="Z16" s="20">
        <v>15</v>
      </c>
      <c r="AA16" s="20">
        <v>19</v>
      </c>
      <c r="AB16" s="20">
        <v>17</v>
      </c>
      <c r="AC16" s="20">
        <v>7</v>
      </c>
      <c r="AD16" s="20">
        <v>76</v>
      </c>
    </row>
    <row r="17" spans="1:30" x14ac:dyDescent="0.35">
      <c r="A17" s="21"/>
      <c r="B17" s="21"/>
      <c r="C17" s="21"/>
      <c r="D17" s="21"/>
      <c r="E17" s="21"/>
      <c r="F17" s="27"/>
      <c r="G17" s="21"/>
      <c r="H17" s="21"/>
      <c r="I17" s="21"/>
      <c r="J17" s="21"/>
      <c r="K17" s="21"/>
      <c r="L17" s="21"/>
      <c r="M17" s="21"/>
      <c r="N17" s="31" t="s">
        <v>995</v>
      </c>
      <c r="O17" s="28">
        <v>11958448</v>
      </c>
      <c r="P17" s="28"/>
      <c r="Q17" s="21"/>
      <c r="S17" s="19" t="s">
        <v>995</v>
      </c>
      <c r="T17" s="20">
        <v>78</v>
      </c>
      <c r="U17" s="20"/>
      <c r="X17" s="19" t="s">
        <v>993</v>
      </c>
      <c r="Y17" s="20">
        <v>21</v>
      </c>
      <c r="Z17" s="20">
        <v>19</v>
      </c>
      <c r="AA17" s="20">
        <v>17</v>
      </c>
      <c r="AB17" s="20">
        <v>19</v>
      </c>
      <c r="AC17" s="20">
        <v>7</v>
      </c>
      <c r="AD17" s="20">
        <v>83</v>
      </c>
    </row>
    <row r="18" spans="1:30" x14ac:dyDescent="0.35">
      <c r="A18" s="21"/>
      <c r="B18" s="21"/>
      <c r="C18" s="21"/>
      <c r="D18" s="21"/>
      <c r="E18" s="21"/>
      <c r="F18" s="21"/>
      <c r="G18" s="21"/>
      <c r="H18" s="21"/>
      <c r="I18" s="21"/>
      <c r="J18" s="21"/>
      <c r="K18" s="21"/>
      <c r="L18" s="21"/>
      <c r="M18" s="21"/>
      <c r="N18" s="31" t="s">
        <v>996</v>
      </c>
      <c r="O18" s="28">
        <v>12772180</v>
      </c>
      <c r="P18" s="28"/>
      <c r="Q18" s="21"/>
      <c r="S18" s="19" t="s">
        <v>996</v>
      </c>
      <c r="T18" s="20">
        <v>95</v>
      </c>
      <c r="U18" s="20"/>
      <c r="X18" s="19" t="s">
        <v>994</v>
      </c>
      <c r="Y18" s="20">
        <v>17</v>
      </c>
      <c r="Z18" s="20">
        <v>19</v>
      </c>
      <c r="AA18" s="20">
        <v>15</v>
      </c>
      <c r="AB18" s="20">
        <v>19</v>
      </c>
      <c r="AC18" s="20">
        <v>16</v>
      </c>
      <c r="AD18" s="20">
        <v>86</v>
      </c>
    </row>
    <row r="19" spans="1:30" x14ac:dyDescent="0.35">
      <c r="A19" s="21"/>
      <c r="B19" s="21"/>
      <c r="C19" s="21"/>
      <c r="D19" s="21"/>
      <c r="E19" s="21"/>
      <c r="F19" s="21"/>
      <c r="G19" s="21"/>
      <c r="H19" s="21"/>
      <c r="I19" s="21"/>
      <c r="J19" s="21"/>
      <c r="K19" s="21"/>
      <c r="L19" s="21"/>
      <c r="M19" s="21"/>
      <c r="N19" s="31" t="s">
        <v>982</v>
      </c>
      <c r="O19" s="33">
        <v>137492544</v>
      </c>
      <c r="P19" s="33">
        <v>306946</v>
      </c>
      <c r="Q19" s="21"/>
      <c r="S19" s="19" t="s">
        <v>982</v>
      </c>
      <c r="T19" s="20">
        <v>980</v>
      </c>
      <c r="U19" s="20">
        <v>2</v>
      </c>
      <c r="X19" s="19" t="s">
        <v>995</v>
      </c>
      <c r="Y19" s="20">
        <v>17</v>
      </c>
      <c r="Z19" s="20">
        <v>13</v>
      </c>
      <c r="AA19" s="20">
        <v>17</v>
      </c>
      <c r="AB19" s="20">
        <v>13</v>
      </c>
      <c r="AC19" s="20">
        <v>18</v>
      </c>
      <c r="AD19" s="20">
        <v>78</v>
      </c>
    </row>
    <row r="20" spans="1:30" x14ac:dyDescent="0.35">
      <c r="A20" s="21"/>
      <c r="B20" s="21"/>
      <c r="C20" s="21"/>
      <c r="D20" s="21"/>
      <c r="E20" s="21"/>
      <c r="F20" s="21"/>
      <c r="G20" s="21"/>
      <c r="H20" s="21"/>
      <c r="I20" s="21"/>
      <c r="J20" s="21"/>
      <c r="K20" s="21"/>
      <c r="L20" s="21"/>
      <c r="M20" s="21"/>
      <c r="P20" s="21"/>
      <c r="Q20" s="21"/>
      <c r="X20" s="19" t="s">
        <v>996</v>
      </c>
      <c r="Y20" s="20">
        <v>23</v>
      </c>
      <c r="Z20" s="20">
        <v>25</v>
      </c>
      <c r="AA20" s="20">
        <v>11</v>
      </c>
      <c r="AB20" s="20">
        <v>15</v>
      </c>
      <c r="AC20" s="20">
        <v>21</v>
      </c>
      <c r="AD20" s="20">
        <v>95</v>
      </c>
    </row>
    <row r="21" spans="1:30" x14ac:dyDescent="0.35">
      <c r="F21" s="21"/>
      <c r="G21" s="21"/>
      <c r="H21" s="21"/>
      <c r="I21" s="21"/>
      <c r="J21" s="21"/>
      <c r="K21" s="21"/>
      <c r="L21" s="21"/>
      <c r="M21" s="21"/>
      <c r="P21" s="21"/>
      <c r="Q21" s="21"/>
      <c r="X21" s="19" t="s">
        <v>982</v>
      </c>
      <c r="Y21" s="20">
        <v>197</v>
      </c>
      <c r="Z21" s="20">
        <v>225</v>
      </c>
      <c r="AA21" s="20">
        <v>185</v>
      </c>
      <c r="AB21" s="20">
        <v>192</v>
      </c>
      <c r="AC21" s="20">
        <v>183</v>
      </c>
      <c r="AD21" s="20">
        <v>982</v>
      </c>
    </row>
    <row r="22" spans="1:30" x14ac:dyDescent="0.35">
      <c r="F22" s="21"/>
      <c r="G22" s="21"/>
      <c r="H22" s="21"/>
      <c r="I22" s="21"/>
      <c r="J22" s="21"/>
      <c r="K22" s="21"/>
      <c r="L22" s="21"/>
      <c r="M22" s="21"/>
      <c r="P22" s="21"/>
      <c r="Q22" s="21"/>
    </row>
    <row r="23" spans="1:30" x14ac:dyDescent="0.35">
      <c r="F23" s="21"/>
      <c r="G23" s="21"/>
      <c r="H23" s="21"/>
      <c r="I23" s="21"/>
      <c r="J23" s="21"/>
      <c r="K23" s="21"/>
      <c r="L23" s="21"/>
      <c r="M23" s="21"/>
      <c r="P23" s="21"/>
      <c r="Q23" s="21"/>
      <c r="T23" s="21"/>
      <c r="U23" s="21"/>
    </row>
    <row r="24" spans="1:30" x14ac:dyDescent="0.35">
      <c r="F24" s="21"/>
      <c r="G24" s="21"/>
      <c r="H24" s="21"/>
      <c r="I24" s="21"/>
      <c r="J24" s="21"/>
      <c r="K24" s="21"/>
      <c r="L24" s="21"/>
      <c r="M24" s="21"/>
      <c r="P24" s="20"/>
      <c r="Q24" s="20"/>
      <c r="T24" s="21"/>
      <c r="U24" s="21"/>
    </row>
    <row r="25" spans="1:30" x14ac:dyDescent="0.35">
      <c r="F25" s="21"/>
      <c r="G25" s="21"/>
      <c r="H25" s="21"/>
      <c r="I25" s="21"/>
      <c r="J25" s="21"/>
      <c r="K25" s="21"/>
      <c r="L25" s="21"/>
      <c r="M25" s="21"/>
      <c r="P25" s="20"/>
      <c r="Q25" s="20"/>
      <c r="T25" s="21"/>
      <c r="U25" s="21"/>
    </row>
    <row r="26" spans="1:30" x14ac:dyDescent="0.35">
      <c r="F26" s="21"/>
      <c r="G26" s="21"/>
      <c r="H26" s="21"/>
      <c r="I26" s="21"/>
      <c r="J26" s="21"/>
      <c r="K26" s="21"/>
      <c r="L26" s="21"/>
      <c r="M26" s="21"/>
      <c r="P26" s="20"/>
      <c r="Q26" s="20"/>
      <c r="R26" s="20"/>
      <c r="S26" s="21"/>
      <c r="T26" s="21"/>
      <c r="U26" s="21"/>
    </row>
    <row r="27" spans="1:30" x14ac:dyDescent="0.35">
      <c r="F27" s="21"/>
      <c r="G27" s="21"/>
      <c r="H27" s="21"/>
      <c r="I27" s="21"/>
      <c r="J27" s="21"/>
      <c r="K27" s="21"/>
      <c r="L27" s="21"/>
      <c r="M27" s="21"/>
      <c r="P27" s="20"/>
      <c r="Q27" s="20"/>
      <c r="R27" s="20"/>
      <c r="S27" s="21"/>
      <c r="T27" s="21"/>
      <c r="U27" s="21"/>
    </row>
    <row r="28" spans="1:30" x14ac:dyDescent="0.35">
      <c r="F28" s="21"/>
      <c r="G28" s="21"/>
      <c r="H28" s="21"/>
      <c r="I28" s="21"/>
      <c r="J28" s="21"/>
      <c r="K28" s="21"/>
      <c r="L28" s="21"/>
      <c r="M28" s="21"/>
      <c r="P28" s="20"/>
      <c r="Q28" s="20"/>
      <c r="R28" s="20"/>
      <c r="S28" s="21"/>
      <c r="T28" s="21"/>
      <c r="U28" s="21"/>
    </row>
    <row r="29" spans="1:30" x14ac:dyDescent="0.35">
      <c r="F29" s="21"/>
      <c r="G29" s="21"/>
      <c r="H29" s="21"/>
      <c r="I29" s="21"/>
      <c r="J29" s="21"/>
      <c r="K29" s="21"/>
      <c r="L29" s="21"/>
      <c r="M29" s="21"/>
      <c r="P29" s="20"/>
      <c r="Q29" s="20"/>
      <c r="R29" s="20"/>
      <c r="S29" s="21"/>
      <c r="T29" s="21"/>
      <c r="U29" s="21"/>
    </row>
    <row r="30" spans="1:30" x14ac:dyDescent="0.35">
      <c r="F30" s="21"/>
      <c r="G30" s="21"/>
      <c r="H30" s="21"/>
      <c r="I30" s="21"/>
      <c r="J30" s="21"/>
      <c r="K30" s="21"/>
      <c r="L30" s="21"/>
      <c r="M30" s="21"/>
      <c r="P30" s="20"/>
      <c r="Q30" s="20"/>
      <c r="R30" s="20"/>
      <c r="S30" s="21"/>
      <c r="T30" s="21"/>
      <c r="U30" s="21"/>
    </row>
    <row r="31" spans="1:30" x14ac:dyDescent="0.35">
      <c r="F31" s="21"/>
      <c r="G31" s="21"/>
      <c r="H31" s="21"/>
      <c r="I31" s="21"/>
      <c r="J31" s="21"/>
      <c r="K31" s="21"/>
      <c r="L31" s="21"/>
      <c r="M31" s="21"/>
      <c r="P31" s="20"/>
      <c r="Q31" s="20"/>
      <c r="R31" s="20"/>
      <c r="S31" s="21"/>
      <c r="T31" s="21"/>
      <c r="U31" s="21"/>
    </row>
    <row r="32" spans="1:30" x14ac:dyDescent="0.35">
      <c r="F32" s="21"/>
      <c r="G32" s="21"/>
      <c r="H32" s="21"/>
      <c r="I32" s="21"/>
      <c r="J32" s="21"/>
      <c r="K32" s="21"/>
      <c r="L32" s="21"/>
      <c r="M32" s="21"/>
      <c r="N32" s="19"/>
      <c r="O32" s="20"/>
      <c r="P32" s="20"/>
      <c r="Q32" s="20"/>
      <c r="R32" s="20"/>
      <c r="S32" s="21"/>
      <c r="T32" s="21"/>
      <c r="U32" s="21"/>
    </row>
    <row r="33" spans="1:21" x14ac:dyDescent="0.35">
      <c r="F33" s="21"/>
      <c r="G33" s="21"/>
      <c r="H33" s="21"/>
      <c r="I33" s="21"/>
      <c r="J33" s="21"/>
      <c r="K33" s="21"/>
      <c r="L33" s="21"/>
      <c r="M33" s="21"/>
      <c r="N33" s="19"/>
      <c r="O33" s="20"/>
      <c r="P33" s="20"/>
      <c r="Q33" s="20"/>
      <c r="R33" s="20"/>
      <c r="S33" s="21"/>
      <c r="T33" s="21"/>
      <c r="U33" s="21"/>
    </row>
    <row r="34" spans="1:21" x14ac:dyDescent="0.35">
      <c r="F34" s="21"/>
      <c r="G34" s="21"/>
      <c r="H34" s="21"/>
      <c r="I34" s="21"/>
      <c r="J34" s="21"/>
      <c r="K34" s="21"/>
      <c r="L34" s="21"/>
      <c r="M34" s="21"/>
      <c r="N34" s="19"/>
      <c r="O34" s="20"/>
      <c r="P34" s="20"/>
      <c r="Q34" s="20"/>
      <c r="R34" s="20"/>
      <c r="S34" s="21"/>
      <c r="T34" s="21"/>
      <c r="U34" s="21"/>
    </row>
    <row r="35" spans="1:21" x14ac:dyDescent="0.35">
      <c r="F35" s="21"/>
      <c r="G35" s="21"/>
      <c r="H35" s="21"/>
      <c r="I35" s="21"/>
      <c r="J35" s="21"/>
      <c r="K35" s="21"/>
      <c r="L35" s="21"/>
      <c r="M35" s="21"/>
      <c r="N35" s="19"/>
      <c r="O35" s="20"/>
      <c r="P35" s="20"/>
      <c r="Q35" s="20"/>
      <c r="R35" s="20"/>
      <c r="S35" s="21"/>
      <c r="T35" s="21"/>
      <c r="U35" s="21"/>
    </row>
    <row r="38" spans="1:21" x14ac:dyDescent="0.35">
      <c r="A38" s="48"/>
      <c r="B38" s="48"/>
      <c r="C38" s="48"/>
      <c r="D38" s="48"/>
      <c r="E38" s="48"/>
      <c r="F38" s="22"/>
      <c r="G38" s="22"/>
      <c r="H38" s="22"/>
      <c r="I38" s="22"/>
      <c r="J38" s="21"/>
      <c r="K38" s="21"/>
      <c r="L38" s="21"/>
      <c r="M38" s="21"/>
      <c r="N38" s="21"/>
      <c r="O38" s="21"/>
      <c r="P38" s="21"/>
      <c r="Q38" s="21"/>
      <c r="R38" s="21"/>
    </row>
    <row r="39" spans="1:21" ht="14.5" customHeight="1" x14ac:dyDescent="0.35">
      <c r="A39" s="48"/>
      <c r="B39" s="48"/>
      <c r="C39" s="48"/>
      <c r="D39" s="48"/>
      <c r="E39" s="48"/>
      <c r="F39" s="22"/>
      <c r="G39" s="22"/>
      <c r="H39" s="22"/>
      <c r="I39" s="22"/>
      <c r="J39" s="21"/>
      <c r="K39" s="21"/>
      <c r="L39" s="21"/>
      <c r="M39" s="21"/>
      <c r="N39" s="21"/>
      <c r="O39" s="21"/>
      <c r="P39" s="49"/>
      <c r="Q39" s="49"/>
      <c r="R39" s="49"/>
    </row>
    <row r="40" spans="1:21" ht="14.5" customHeight="1" x14ac:dyDescent="0.35">
      <c r="A40" s="48"/>
      <c r="B40" s="48"/>
      <c r="C40" s="48"/>
      <c r="D40" s="48"/>
      <c r="E40" s="48"/>
      <c r="F40" s="22"/>
      <c r="G40" s="22"/>
      <c r="H40" s="22"/>
      <c r="I40" s="22"/>
      <c r="J40" s="21"/>
      <c r="K40" s="21"/>
      <c r="L40" s="21"/>
      <c r="M40" s="21"/>
      <c r="N40" s="21"/>
      <c r="O40" s="21"/>
      <c r="P40" s="49"/>
      <c r="Q40" s="49"/>
      <c r="R40" s="49"/>
    </row>
    <row r="41" spans="1:21" x14ac:dyDescent="0.35">
      <c r="A41" s="48"/>
      <c r="B41" s="48"/>
      <c r="C41" s="48"/>
      <c r="D41" s="48"/>
      <c r="E41" s="48"/>
      <c r="F41" s="22"/>
      <c r="G41" s="22"/>
      <c r="H41" s="22"/>
      <c r="I41" s="22"/>
      <c r="J41" s="21"/>
      <c r="K41" s="21"/>
      <c r="L41" s="21"/>
      <c r="M41" s="21"/>
      <c r="N41" s="21"/>
      <c r="O41" s="21"/>
      <c r="P41" s="21"/>
      <c r="Q41" s="21"/>
      <c r="R41" s="21"/>
    </row>
    <row r="42" spans="1:21" x14ac:dyDescent="0.35">
      <c r="A42" s="48"/>
      <c r="B42" s="48"/>
      <c r="C42" s="48"/>
      <c r="D42" s="48"/>
      <c r="E42" s="48"/>
      <c r="F42" s="22"/>
      <c r="G42" s="22"/>
      <c r="H42" s="22"/>
      <c r="I42" s="22"/>
      <c r="J42" s="21"/>
      <c r="K42" s="21"/>
      <c r="L42" s="21"/>
      <c r="M42" s="21"/>
      <c r="N42" s="21"/>
      <c r="O42" s="21"/>
      <c r="P42" s="21"/>
      <c r="Q42" s="21"/>
      <c r="R42" s="21"/>
    </row>
    <row r="43" spans="1:21" x14ac:dyDescent="0.35">
      <c r="A43" s="48"/>
      <c r="B43" s="48"/>
      <c r="C43" s="48"/>
      <c r="D43" s="48"/>
      <c r="E43" s="48"/>
      <c r="F43" s="22"/>
      <c r="G43" s="22"/>
      <c r="H43" s="22"/>
      <c r="I43" s="22"/>
    </row>
    <row r="44" spans="1:21" x14ac:dyDescent="0.35">
      <c r="A44" s="48"/>
      <c r="B44" s="48"/>
      <c r="C44" s="48"/>
      <c r="D44" s="48"/>
      <c r="E44" s="48"/>
      <c r="F44" s="22"/>
      <c r="G44" s="22"/>
      <c r="H44" s="22"/>
      <c r="I44" s="22"/>
    </row>
    <row r="45" spans="1:21" x14ac:dyDescent="0.35">
      <c r="A45" s="22"/>
      <c r="B45" s="22"/>
      <c r="C45" s="22"/>
      <c r="D45" s="22"/>
      <c r="E45" s="22"/>
      <c r="F45" s="22"/>
      <c r="G45" s="22"/>
      <c r="H45" s="22"/>
      <c r="I45" s="22"/>
    </row>
    <row r="46" spans="1:21" x14ac:dyDescent="0.35">
      <c r="A46" s="50"/>
      <c r="B46" s="50"/>
      <c r="C46" s="50"/>
      <c r="D46" s="50"/>
      <c r="E46" s="50"/>
      <c r="F46" s="50"/>
      <c r="G46" s="50"/>
      <c r="H46" s="50"/>
      <c r="I46" s="50"/>
    </row>
    <row r="47" spans="1:21" x14ac:dyDescent="0.35">
      <c r="A47" s="50"/>
      <c r="B47" s="50"/>
      <c r="C47" s="50"/>
      <c r="D47" s="50"/>
      <c r="E47" s="50"/>
      <c r="F47" s="50"/>
      <c r="G47" s="50"/>
      <c r="H47" s="50"/>
      <c r="I47" s="50"/>
    </row>
    <row r="48" spans="1:21" x14ac:dyDescent="0.35">
      <c r="A48" s="50"/>
      <c r="B48" s="50"/>
      <c r="C48" s="50"/>
      <c r="D48" s="50"/>
      <c r="E48" s="50"/>
      <c r="F48" s="50"/>
      <c r="G48" s="50"/>
      <c r="H48" s="50"/>
      <c r="I48" s="50"/>
    </row>
    <row r="49" spans="1:9" x14ac:dyDescent="0.35">
      <c r="A49" s="50"/>
      <c r="B49" s="50"/>
      <c r="C49" s="50"/>
      <c r="D49" s="50"/>
      <c r="E49" s="50"/>
      <c r="F49" s="50"/>
      <c r="G49" s="50"/>
      <c r="H49" s="50"/>
      <c r="I49" s="50"/>
    </row>
    <row r="50" spans="1:9" x14ac:dyDescent="0.35">
      <c r="A50" s="50"/>
      <c r="B50" s="50"/>
      <c r="C50" s="50"/>
      <c r="D50" s="50"/>
      <c r="E50" s="50"/>
      <c r="F50" s="50"/>
      <c r="G50" s="50"/>
      <c r="H50" s="50"/>
      <c r="I50" s="50"/>
    </row>
  </sheetData>
  <mergeCells count="19">
    <mergeCell ref="P39:R40"/>
    <mergeCell ref="A43:E43"/>
    <mergeCell ref="A50:I50"/>
    <mergeCell ref="A46:I46"/>
    <mergeCell ref="A47:I47"/>
    <mergeCell ref="A48:I48"/>
    <mergeCell ref="A49:I49"/>
    <mergeCell ref="A44:E44"/>
    <mergeCell ref="B1:C2"/>
    <mergeCell ref="A41:E41"/>
    <mergeCell ref="A42:E42"/>
    <mergeCell ref="A38:E38"/>
    <mergeCell ref="A39:E39"/>
    <mergeCell ref="A40:E40"/>
    <mergeCell ref="S1:U2"/>
    <mergeCell ref="Y1:AB2"/>
    <mergeCell ref="F1:G2"/>
    <mergeCell ref="J1:K2"/>
    <mergeCell ref="N1:O2"/>
  </mergeCells>
  <conditionalFormatting pivot="1" sqref="O7:P18">
    <cfRule type="top10" dxfId="31" priority="2" rank="3"/>
  </conditionalFormatting>
  <conditionalFormatting pivot="1" sqref="T7:U18">
    <cfRule type="top10" dxfId="30" priority="1" rank="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C7F7-B718-4071-AA9C-06E4A3C692B3}">
  <dimension ref="B1:AZ61"/>
  <sheetViews>
    <sheetView showGridLines="0" tabSelected="1" topLeftCell="X16" zoomScale="55" zoomScaleNormal="40" workbookViewId="0">
      <selection activeCell="AR60" sqref="AR60"/>
    </sheetView>
  </sheetViews>
  <sheetFormatPr defaultRowHeight="14.5" x14ac:dyDescent="0.35"/>
  <cols>
    <col min="1" max="1" width="8.7265625" style="37"/>
    <col min="2" max="2" width="12.6328125" style="37" bestFit="1" customWidth="1"/>
    <col min="3" max="46" width="8.7265625" style="37"/>
    <col min="47" max="47" width="11.81640625" style="37" bestFit="1" customWidth="1"/>
    <col min="48" max="16384" width="8.7265625" style="37"/>
  </cols>
  <sheetData>
    <row r="1" spans="2:21" x14ac:dyDescent="0.35">
      <c r="D1" s="38"/>
      <c r="E1" s="38"/>
      <c r="F1" s="38"/>
      <c r="G1" s="38"/>
      <c r="H1" s="38"/>
      <c r="I1" s="38"/>
      <c r="J1" s="38"/>
      <c r="K1" s="38"/>
      <c r="L1" s="38"/>
      <c r="M1" s="38"/>
      <c r="N1" s="38"/>
      <c r="O1" s="38"/>
      <c r="P1" s="38"/>
      <c r="Q1" s="38"/>
      <c r="R1" s="38"/>
      <c r="S1" s="38"/>
      <c r="T1" s="38"/>
    </row>
    <row r="2" spans="2:21" ht="14.5" customHeight="1" x14ac:dyDescent="0.35">
      <c r="B2" s="38"/>
      <c r="C2" s="38"/>
      <c r="D2" s="51" t="s">
        <v>1008</v>
      </c>
      <c r="E2" s="51"/>
      <c r="F2" s="51"/>
      <c r="G2" s="51"/>
      <c r="H2" s="51"/>
      <c r="I2" s="51"/>
      <c r="J2" s="51"/>
      <c r="K2" s="51"/>
      <c r="L2" s="51"/>
      <c r="M2" s="51"/>
      <c r="N2" s="51"/>
      <c r="O2" s="51"/>
      <c r="P2" s="51"/>
      <c r="Q2" s="51"/>
      <c r="R2" s="51"/>
      <c r="S2" s="51"/>
      <c r="T2" s="51"/>
    </row>
    <row r="3" spans="2:21" ht="14.5" customHeight="1" x14ac:dyDescent="0.35">
      <c r="B3" s="38"/>
      <c r="C3" s="38"/>
      <c r="D3" s="51"/>
      <c r="E3" s="51"/>
      <c r="F3" s="51"/>
      <c r="G3" s="51"/>
      <c r="H3" s="51"/>
      <c r="I3" s="51"/>
      <c r="J3" s="51"/>
      <c r="K3" s="51"/>
      <c r="L3" s="51"/>
      <c r="M3" s="51"/>
      <c r="N3" s="51"/>
      <c r="O3" s="51"/>
      <c r="P3" s="51"/>
      <c r="Q3" s="51"/>
      <c r="R3" s="51"/>
      <c r="S3" s="51"/>
      <c r="T3" s="51"/>
    </row>
    <row r="4" spans="2:21" ht="14.5" customHeight="1" x14ac:dyDescent="0.35">
      <c r="B4" s="38"/>
      <c r="C4" s="38"/>
      <c r="D4" s="51"/>
      <c r="E4" s="51"/>
      <c r="F4" s="51"/>
      <c r="G4" s="51"/>
      <c r="H4" s="51"/>
      <c r="I4" s="51"/>
      <c r="J4" s="51"/>
      <c r="K4" s="51"/>
      <c r="L4" s="51"/>
      <c r="M4" s="51"/>
      <c r="N4" s="51"/>
      <c r="O4" s="51"/>
      <c r="P4" s="51"/>
      <c r="Q4" s="51"/>
      <c r="R4" s="51"/>
      <c r="S4" s="51"/>
      <c r="T4" s="51"/>
    </row>
    <row r="6" spans="2:21" x14ac:dyDescent="0.35">
      <c r="B6" s="39">
        <f>SUM('Pivot Tables'!C6:C9)</f>
        <v>137799490</v>
      </c>
      <c r="E6" s="37">
        <f>SUM('Pivot Tables'!K6:K10)</f>
        <v>982</v>
      </c>
      <c r="J6" s="37" t="str">
        <f>'Pivot Tables'!J6</f>
        <v>Laptop</v>
      </c>
    </row>
    <row r="7" spans="2:21" x14ac:dyDescent="0.35">
      <c r="J7" s="38" t="str">
        <f>'Pivot Tables'!B6</f>
        <v>West</v>
      </c>
    </row>
    <row r="13" spans="2:21" ht="14.5" customHeight="1" x14ac:dyDescent="0.35">
      <c r="G13" s="44"/>
      <c r="H13" s="52" t="s">
        <v>1006</v>
      </c>
      <c r="I13" s="53"/>
      <c r="J13" s="53"/>
      <c r="K13" s="53"/>
      <c r="L13" s="53"/>
      <c r="M13" s="53"/>
      <c r="N13" s="53"/>
      <c r="O13" s="53"/>
      <c r="P13" s="53"/>
      <c r="Q13" s="53"/>
      <c r="R13" s="53"/>
      <c r="S13" s="53"/>
      <c r="T13" s="53"/>
      <c r="U13" s="54"/>
    </row>
    <row r="14" spans="2:21" ht="14.5" customHeight="1" x14ac:dyDescent="0.35">
      <c r="H14" s="55"/>
      <c r="I14" s="56"/>
      <c r="J14" s="56"/>
      <c r="K14" s="56"/>
      <c r="L14" s="56"/>
      <c r="M14" s="56"/>
      <c r="N14" s="56"/>
      <c r="O14" s="56"/>
      <c r="P14" s="56"/>
      <c r="Q14" s="56"/>
      <c r="R14" s="56"/>
      <c r="S14" s="56"/>
      <c r="T14" s="56"/>
      <c r="U14" s="57"/>
    </row>
    <row r="15" spans="2:21" ht="14.5" customHeight="1" x14ac:dyDescent="0.35">
      <c r="D15" s="44"/>
      <c r="E15" s="44"/>
      <c r="H15" s="58"/>
      <c r="I15" s="59"/>
      <c r="J15" s="59"/>
      <c r="K15" s="59"/>
      <c r="L15" s="59"/>
      <c r="M15" s="59"/>
      <c r="N15" s="59"/>
      <c r="O15" s="59"/>
      <c r="P15" s="59"/>
      <c r="Q15" s="59"/>
      <c r="R15" s="59"/>
      <c r="S15" s="59"/>
      <c r="T15" s="59"/>
      <c r="U15" s="60"/>
    </row>
    <row r="19" spans="36:52" ht="14.5" customHeight="1" x14ac:dyDescent="0.35">
      <c r="AJ19" s="40"/>
      <c r="AK19" s="40"/>
      <c r="AL19" s="40"/>
      <c r="AM19" s="40"/>
      <c r="AN19" s="40"/>
      <c r="AO19" s="40"/>
      <c r="AP19" s="40"/>
      <c r="AQ19" s="40"/>
      <c r="AR19" s="40"/>
      <c r="AS19" s="40"/>
      <c r="AT19" s="40"/>
      <c r="AU19" s="40"/>
      <c r="AV19" s="40"/>
      <c r="AW19" s="40"/>
      <c r="AX19" s="40"/>
      <c r="AY19" s="40"/>
      <c r="AZ19" s="40"/>
    </row>
    <row r="20" spans="36:52" ht="14.5" customHeight="1" x14ac:dyDescent="0.35">
      <c r="AJ20" s="40"/>
      <c r="AK20" s="40"/>
      <c r="AL20" s="40"/>
      <c r="AM20" s="40"/>
      <c r="AN20" s="40"/>
      <c r="AO20" s="40"/>
      <c r="AP20" s="40"/>
      <c r="AQ20" s="40"/>
      <c r="AR20" s="40"/>
      <c r="AS20" s="40"/>
      <c r="AT20" s="40"/>
      <c r="AU20" s="40"/>
      <c r="AV20" s="40"/>
      <c r="AW20" s="40"/>
      <c r="AX20" s="40"/>
      <c r="AY20" s="40"/>
      <c r="AZ20" s="40"/>
    </row>
    <row r="21" spans="36:52" ht="14.5" customHeight="1" x14ac:dyDescent="0.35">
      <c r="AJ21" s="40"/>
      <c r="AK21" s="40"/>
      <c r="AL21" s="40"/>
      <c r="AM21" s="40"/>
      <c r="AN21" s="40"/>
      <c r="AO21" s="40"/>
      <c r="AP21" s="40"/>
      <c r="AQ21" s="40"/>
      <c r="AR21" s="40"/>
      <c r="AS21" s="40"/>
      <c r="AT21" s="40"/>
      <c r="AU21" s="40"/>
      <c r="AV21" s="40"/>
      <c r="AW21" s="40"/>
      <c r="AX21" s="40"/>
      <c r="AY21" s="40"/>
      <c r="AZ21" s="40"/>
    </row>
    <row r="37" spans="4:23" ht="14.5" customHeight="1" x14ac:dyDescent="0.35">
      <c r="D37" s="40"/>
      <c r="E37" s="40"/>
      <c r="F37" s="40"/>
      <c r="G37" s="40"/>
      <c r="H37" s="40"/>
      <c r="I37" s="40"/>
      <c r="J37" s="40"/>
      <c r="K37" s="40"/>
      <c r="L37" s="40"/>
      <c r="M37" s="40"/>
      <c r="N37" s="40"/>
      <c r="O37" s="40"/>
      <c r="P37" s="40"/>
      <c r="Q37" s="40"/>
      <c r="R37" s="40"/>
      <c r="S37" s="40"/>
      <c r="T37" s="40"/>
    </row>
    <row r="38" spans="4:23" ht="14.5" customHeight="1" x14ac:dyDescent="0.35">
      <c r="D38" s="40"/>
      <c r="E38" s="40"/>
      <c r="F38" s="40"/>
      <c r="G38" s="40"/>
      <c r="H38" s="40"/>
      <c r="I38" s="40"/>
      <c r="J38" s="40"/>
      <c r="K38" s="40"/>
      <c r="L38" s="40"/>
      <c r="M38" s="40"/>
      <c r="N38" s="40"/>
      <c r="O38" s="40"/>
      <c r="P38" s="40"/>
      <c r="Q38" s="40"/>
      <c r="R38" s="40"/>
      <c r="S38" s="40"/>
      <c r="T38" s="40"/>
    </row>
    <row r="39" spans="4:23" ht="14.5" customHeight="1" x14ac:dyDescent="0.35">
      <c r="D39" s="40"/>
      <c r="E39" s="40"/>
      <c r="F39" s="40"/>
      <c r="G39" s="52" t="s">
        <v>1007</v>
      </c>
      <c r="H39" s="53"/>
      <c r="I39" s="53"/>
      <c r="J39" s="53"/>
      <c r="K39" s="53"/>
      <c r="L39" s="53"/>
      <c r="M39" s="53"/>
      <c r="N39" s="53"/>
      <c r="O39" s="53"/>
      <c r="P39" s="53"/>
      <c r="Q39" s="53"/>
      <c r="R39" s="53"/>
      <c r="S39" s="53"/>
      <c r="T39" s="53"/>
      <c r="U39" s="53"/>
      <c r="V39" s="53"/>
      <c r="W39" s="54"/>
    </row>
    <row r="40" spans="4:23" x14ac:dyDescent="0.35">
      <c r="G40" s="55"/>
      <c r="H40" s="56"/>
      <c r="I40" s="56"/>
      <c r="J40" s="56"/>
      <c r="K40" s="56"/>
      <c r="L40" s="56"/>
      <c r="M40" s="56"/>
      <c r="N40" s="56"/>
      <c r="O40" s="56"/>
      <c r="P40" s="56"/>
      <c r="Q40" s="56"/>
      <c r="R40" s="56"/>
      <c r="S40" s="56"/>
      <c r="T40" s="56"/>
      <c r="U40" s="56"/>
      <c r="V40" s="56"/>
      <c r="W40" s="57"/>
    </row>
    <row r="41" spans="4:23" x14ac:dyDescent="0.35">
      <c r="G41" s="58"/>
      <c r="H41" s="59"/>
      <c r="I41" s="59"/>
      <c r="J41" s="59"/>
      <c r="K41" s="59"/>
      <c r="L41" s="59"/>
      <c r="M41" s="59"/>
      <c r="N41" s="59"/>
      <c r="O41" s="59"/>
      <c r="P41" s="59"/>
      <c r="Q41" s="59"/>
      <c r="R41" s="59"/>
      <c r="S41" s="59"/>
      <c r="T41" s="59"/>
      <c r="U41" s="59"/>
      <c r="V41" s="59"/>
      <c r="W41" s="60"/>
    </row>
    <row r="49" spans="3:25" x14ac:dyDescent="0.35">
      <c r="Y49" s="37" t="s">
        <v>1009</v>
      </c>
    </row>
    <row r="55" spans="3:25" x14ac:dyDescent="0.35">
      <c r="C55" s="42"/>
    </row>
    <row r="59" spans="3:25" ht="14.5" customHeight="1" x14ac:dyDescent="0.35"/>
    <row r="60" spans="3:25" ht="14.5" customHeight="1" x14ac:dyDescent="0.35"/>
    <row r="61" spans="3:25" ht="14.5" customHeight="1" x14ac:dyDescent="0.35"/>
  </sheetData>
  <mergeCells count="3">
    <mergeCell ref="D2:T4"/>
    <mergeCell ref="G39:W41"/>
    <mergeCell ref="H13:U1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Shravan Sai B</cp:lastModifiedBy>
  <dcterms:created xsi:type="dcterms:W3CDTF">2026-04-24T14:57:32Z</dcterms:created>
  <dcterms:modified xsi:type="dcterms:W3CDTF">2026-04-27T15:32:46Z</dcterms:modified>
</cp:coreProperties>
</file>